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defaultThemeVersion="124226"/>
  <mc:AlternateContent xmlns:mc="http://schemas.openxmlformats.org/markup-compatibility/2006">
    <mc:Choice Requires="x15">
      <x15ac:absPath xmlns:x15ac="http://schemas.microsoft.com/office/spreadsheetml/2010/11/ac" url="D:\Dropbox\Course Materials\SMU2022_2023\MBAN\Lecture Notes\Finanical Modelling and Forecasting\"/>
    </mc:Choice>
  </mc:AlternateContent>
  <xr:revisionPtr revIDLastSave="0" documentId="13_ncr:1_{CEE9F979-6EBD-4548-98E1-6CA2A136286F}" xr6:coauthVersionLast="47" xr6:coauthVersionMax="47" xr10:uidLastSave="{00000000-0000-0000-0000-000000000000}"/>
  <bookViews>
    <workbookView xWindow="-120" yWindow="-120" windowWidth="38640" windowHeight="21240" activeTab="3" xr2:uid="{00000000-000D-0000-FFFF-FFFF00000000}"/>
  </bookViews>
  <sheets>
    <sheet name="Model" sheetId="1" r:id="rId1"/>
    <sheet name="treeCalc_1" sheetId="2" state="hidden" r:id="rId2"/>
    <sheet name="Building the model" sheetId="3" r:id="rId3"/>
    <sheet name="ClassDemo" sheetId="5" r:id="rId4"/>
    <sheet name="treeCalc_2" sheetId="4" state="hidden" r:id="rId5"/>
  </sheet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12</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Names">Model!#REF!</definedName>
    <definedName name="Pal_Workbook_GUID" hidden="1">"2ZCV84VN7EFTSA14ET1ET17A"</definedName>
    <definedName name="PTree_PolicySuggestion_IncludeDecisionTable" hidden="1">FALSE</definedName>
    <definedName name="PTree_PolicySuggestion_IncludeOptimalDecisionTree" hidden="1">TRUE</definedName>
    <definedName name="PTree_PolicySuggestion_Model" hidden="1">PTreeObjectReference(PTDecisionTree_1,treeCalc_1!$A$1)</definedName>
    <definedName name="PTree_PolicySuggestion_ReportPlacement" hidden="1">1</definedName>
    <definedName name="PTree_PolicySuggestion_StartingNode" hidden="1">PTreeObjectReference(NULL,NULL)</definedName>
    <definedName name="PTree_RiskProfile_IncludeCumulativeChart" hidden="1">TRUE</definedName>
    <definedName name="PTree_RiskProfile_IncludeProbabilityChart" hidden="1">TRUE</definedName>
    <definedName name="PTree_RiskProfile_IncludeStatisticalSummary" hidden="1">TRUE</definedName>
    <definedName name="PTree_RiskProfile_Model" hidden="1">PTreeObjectReference(PTDecisionTree_1,treeCalc_1!$A$1)</definedName>
    <definedName name="PTree_RiskProfile_PathsToAnalyze" hidden="1">0</definedName>
    <definedName name="PTree_RiskProfile_ReportPlacement" hidden="1">1</definedName>
    <definedName name="PTree_RiskProfile_StartingNode" hidden="1">PTreeObjectReference(NULL,NULL)</definedName>
    <definedName name="PTree_SensitivityAnalysis_AnalysisType" hidden="1">1</definedName>
    <definedName name="PTree_SensitivityAnalysis_GraphsDisplayPercentageChange" hidden="1">FALSE</definedName>
    <definedName name="PTree_SensitivityAnalysis_IncludeSensitivityGraph" hidden="1">TRUE</definedName>
    <definedName name="PTree_SensitivityAnalysis_IncludeSpiderGraph" hidden="1">TRUE</definedName>
    <definedName name="PTree_SensitivityAnalysis_IncludeStrategyRegion" hidden="1">TRUE</definedName>
    <definedName name="PTree_SensitivityAnalysis_IncludeTornadoGraph" hidden="1">TRUE</definedName>
    <definedName name="PTree_SensitivityAnalysis_Inputs_1_AlternateCellLabel" hidden="1">""</definedName>
    <definedName name="PTree_SensitivityAnalysis_Inputs_1_BaseValueIsAutomatic" hidden="1">TRUE</definedName>
    <definedName name="PTree_SensitivityAnalysis_Inputs_1_MaintainProbabilityNormalization" hidden="1">FALSE</definedName>
    <definedName name="PTree_SensitivityAnalysis_Inputs_1_ManualBaseValue" hidden="1">0</definedName>
    <definedName name="PTree_SensitivityAnalysis_Inputs_1_Maximum" hidden="1">25</definedName>
    <definedName name="PTree_SensitivityAnalysis_Inputs_1_Minimum" hidden="1">-25</definedName>
    <definedName name="PTree_SensitivityAnalysis_Inputs_1_OneWayAnalysis" hidden="1">1</definedName>
    <definedName name="PTree_SensitivityAnalysis_Inputs_1_Steps" hidden="1">11</definedName>
    <definedName name="PTree_SensitivityAnalysis_Inputs_1_TwoWayAnalysis" hidden="1">1</definedName>
    <definedName name="PTree_SensitivityAnalysis_Inputs_1_VariationMethod" hidden="1">0</definedName>
    <definedName name="PTree_SensitivityAnalysis_Inputs_1_VaryCell" hidden="1">'Building the model'!$F$6</definedName>
    <definedName name="PTree_SensitivityAnalysis_Inputs_2_AlternateCellLabel" hidden="1">""</definedName>
    <definedName name="PTree_SensitivityAnalysis_Inputs_2_BaseValueIsAutomatic" hidden="1">TRUE</definedName>
    <definedName name="PTree_SensitivityAnalysis_Inputs_2_MaintainProbabilityNormalization" hidden="1">FALSE</definedName>
    <definedName name="PTree_SensitivityAnalysis_Inputs_2_ManualBaseValue" hidden="1">0</definedName>
    <definedName name="PTree_SensitivityAnalysis_Inputs_2_Maximum" hidden="1">25</definedName>
    <definedName name="PTree_SensitivityAnalysis_Inputs_2_Minimum" hidden="1">-25</definedName>
    <definedName name="PTree_SensitivityAnalysis_Inputs_2_OneWayAnalysis" hidden="1">1</definedName>
    <definedName name="PTree_SensitivityAnalysis_Inputs_2_Steps" hidden="1">11</definedName>
    <definedName name="PTree_SensitivityAnalysis_Inputs_2_TwoWayAnalysis" hidden="1">2</definedName>
    <definedName name="PTree_SensitivityAnalysis_Inputs_2_VariationMethod" hidden="1">0</definedName>
    <definedName name="PTree_SensitivityAnalysis_Inputs_2_VaryCell" hidden="1">'Building the model'!$F$7</definedName>
    <definedName name="PTree_SensitivityAnalysis_Inputs_Count" hidden="1">2</definedName>
    <definedName name="PTree_SensitivityAnalysis_Output_AlternateCellLabel" hidden="1">""</definedName>
    <definedName name="PTree_SensitivityAnalysis_Output_Model" hidden="1">PTreeObjectReference(PTDecisionTree_2,treeCalc_2!$A$1)</definedName>
    <definedName name="PTree_SensitivityAnalysis_Output_OutputType" hidden="1">1</definedName>
    <definedName name="PTree_SensitivityAnalysis_Output_StartingNode" hidden="1">PTreeObjectReference(NULL,NULL)</definedName>
    <definedName name="PTree_SensitivityAnalysis_ReportPlacement" hidden="1">1</definedName>
    <definedName name="PTree_SensitivityAnalysis_UpdateDisplay" hidden="1">FALSE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TWBD_StatToolsScatterplot_DisplayCorrelationCoefficient" hidden="1">"TRUE"</definedName>
    <definedName name="STWBD_StatToolsScatterplot_HasDefaultInfo" hidden="1">"TRUE"</definedName>
    <definedName name="STWBD_StatToolsScatterplot_VarSelectorDefaultDataSet" hidden="1">"DG112DE1EF"</definedName>
    <definedName name="STWBD_StatToolsScatterplot_XVariableList" hidden="1">2</definedName>
    <definedName name="STWBD_StatToolsScatterplot_XVariableList_1" hidden="1">"U_x0001_VG2D57BF831D729B26_x0001_"</definedName>
    <definedName name="STWBD_StatToolsScatterplot_XVariableList_2" hidden="1">"U_x0001_VG1E330A271EE8C447_x0001_"</definedName>
    <definedName name="STWBD_StatToolsScatterplot_YVariableList" hidden="1">1</definedName>
    <definedName name="STWBD_StatToolsScatterplot_YVariableList_1" hidden="1">"U_x0001_VGFC9F36D570F001_x0001_"</definedName>
    <definedName name="treeList" hidden="1">"11000000000000000000000000000000000000000000000000000000000000000000000000000000000000000000000000000000000000000000000000000000000000000000000000000000000000000000000000000000000000000000000000000000"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3" l="1"/>
  <c r="J26" i="4" s="1"/>
  <c r="D49" i="3"/>
  <c r="J28" i="4" s="1"/>
  <c r="E31" i="3"/>
  <c r="J22" i="4" s="1"/>
  <c r="D39" i="3"/>
  <c r="J24" i="4" s="1"/>
  <c r="D27" i="3"/>
  <c r="J18" i="4" s="1"/>
  <c r="E19" i="3"/>
  <c r="J19" i="4" s="1"/>
  <c r="B29" i="3"/>
  <c r="J12" i="4" s="1"/>
  <c r="D48" i="3"/>
  <c r="K28" i="4" s="1"/>
  <c r="D38" i="3"/>
  <c r="K24" i="4" s="1"/>
  <c r="D26" i="3"/>
  <c r="K18" i="4" s="1"/>
  <c r="D32" i="3"/>
  <c r="K21" i="4" s="1"/>
  <c r="D20" i="3"/>
  <c r="K17" i="4" s="1"/>
  <c r="D42" i="3"/>
  <c r="K25" i="4" s="1"/>
  <c r="K27" i="4"/>
  <c r="J27" i="4"/>
  <c r="K26" i="4"/>
  <c r="J25" i="4"/>
  <c r="O25" i="4"/>
  <c r="J16" i="4"/>
  <c r="O16" i="4"/>
  <c r="K23" i="4"/>
  <c r="J23" i="4"/>
  <c r="K22" i="4"/>
  <c r="J21" i="4"/>
  <c r="O21" i="4"/>
  <c r="J15" i="4"/>
  <c r="O15" i="4"/>
  <c r="K20" i="4"/>
  <c r="J20" i="4"/>
  <c r="K19" i="4"/>
  <c r="J17" i="4"/>
  <c r="O17" i="4"/>
  <c r="J14" i="4"/>
  <c r="O14" i="4"/>
  <c r="O12" i="4"/>
  <c r="J13" i="4"/>
  <c r="K11" i="4"/>
  <c r="J11" i="4"/>
  <c r="O11" i="4"/>
  <c r="B11" i="4"/>
  <c r="B2" i="4"/>
  <c r="J18" i="2"/>
  <c r="K24" i="2"/>
  <c r="K21" i="2"/>
  <c r="J25" i="2"/>
  <c r="J29" i="2"/>
  <c r="O29" i="2"/>
  <c r="J24" i="2"/>
  <c r="J22" i="2"/>
  <c r="J23" i="2"/>
  <c r="O23" i="2"/>
  <c r="J21" i="2"/>
  <c r="K19" i="2"/>
  <c r="J19" i="2"/>
  <c r="J20" i="2"/>
  <c r="J17" i="2"/>
  <c r="O17" i="2"/>
  <c r="J34" i="2"/>
  <c r="J16" i="2"/>
  <c r="O16" i="2"/>
  <c r="K34" i="2"/>
  <c r="J28" i="2"/>
  <c r="J15" i="2"/>
  <c r="O15" i="2"/>
  <c r="K28" i="2"/>
  <c r="K17" i="2"/>
  <c r="J12" i="2"/>
  <c r="J14" i="2"/>
  <c r="O14" i="2"/>
  <c r="O12" i="2"/>
  <c r="J13" i="2"/>
  <c r="K11" i="2"/>
  <c r="J11" i="2"/>
  <c r="O11" i="2"/>
  <c r="B11" i="2"/>
  <c r="B2" i="2"/>
  <c r="K25" i="2"/>
  <c r="K22" i="2"/>
  <c r="K20" i="2"/>
  <c r="K18" i="2"/>
  <c r="K29" i="2"/>
  <c r="K23" i="2"/>
  <c r="F2" i="4"/>
  <c r="E26" i="3"/>
  <c r="F31" i="3"/>
  <c r="B52" i="3"/>
  <c r="E49" i="3"/>
  <c r="F40" i="3"/>
  <c r="B51" i="3"/>
  <c r="F45" i="3"/>
  <c r="F2" i="2"/>
  <c r="G14" i="1"/>
  <c r="B28" i="3"/>
  <c r="D20" i="1"/>
  <c r="D47" i="3"/>
  <c r="E21" i="3"/>
  <c r="E27" i="3"/>
  <c r="F10" i="1"/>
  <c r="E31" i="1"/>
  <c r="G7" i="1"/>
  <c r="F32" i="1"/>
  <c r="E9" i="1"/>
  <c r="F34" i="3"/>
  <c r="F35" i="3"/>
  <c r="F5" i="1"/>
  <c r="E43" i="3"/>
  <c r="C12" i="1"/>
  <c r="G19" i="1"/>
  <c r="D36" i="1"/>
  <c r="C53" i="3"/>
  <c r="F27" i="1"/>
  <c r="C29" i="3"/>
  <c r="G2" i="1"/>
  <c r="E21" i="1"/>
  <c r="E39" i="3"/>
  <c r="C35" i="1"/>
  <c r="G29" i="1"/>
  <c r="F22" i="3"/>
  <c r="E33" i="3"/>
  <c r="F33" i="1"/>
  <c r="F17" i="1"/>
  <c r="D37" i="3"/>
  <c r="E48" i="3"/>
  <c r="E38" i="3"/>
  <c r="G18" i="1"/>
  <c r="C36" i="1"/>
  <c r="F23" i="3"/>
  <c r="F30" i="3"/>
  <c r="F41" i="3"/>
  <c r="F19" i="3"/>
  <c r="C24" i="3"/>
  <c r="D30" i="1"/>
  <c r="D25" i="3"/>
  <c r="C36" i="3"/>
  <c r="D37" i="1"/>
  <c r="F11" i="1"/>
  <c r="C52" i="3"/>
  <c r="G24" i="1"/>
  <c r="G28" i="1"/>
  <c r="D8" i="1"/>
  <c r="F22" i="1"/>
  <c r="D13" i="1"/>
  <c r="G6" i="1"/>
  <c r="C46" i="3"/>
  <c r="G15" i="1"/>
  <c r="F18" i="3"/>
  <c r="F44" i="3"/>
  <c r="F23" i="1"/>
  <c r="G25" i="1"/>
  <c r="G3" i="1"/>
  <c r="A16" i="4" l="1"/>
  <c r="A25" i="4"/>
  <c r="A26" i="4"/>
  <c r="A27" i="4"/>
  <c r="A28" i="4"/>
  <c r="A15" i="4"/>
  <c r="A21" i="4"/>
  <c r="A22" i="4"/>
  <c r="A23" i="4"/>
  <c r="A24" i="4"/>
  <c r="A20" i="4"/>
  <c r="A19" i="4"/>
  <c r="A18" i="4"/>
  <c r="A17" i="4"/>
  <c r="A14" i="4"/>
  <c r="A13" i="4"/>
  <c r="A12" i="4"/>
  <c r="A11" i="4"/>
  <c r="A23" i="2"/>
  <c r="A25" i="2"/>
  <c r="A11" i="2"/>
  <c r="A13" i="2"/>
  <c r="A28" i="2"/>
  <c r="A18" i="2"/>
  <c r="A24" i="2"/>
  <c r="A14" i="2"/>
  <c r="A22" i="2"/>
  <c r="A20" i="2"/>
  <c r="A12" i="2"/>
  <c r="A16" i="2"/>
  <c r="A17" i="2"/>
  <c r="A19" i="2"/>
  <c r="A34" i="2"/>
  <c r="A21" i="2"/>
  <c r="A15" i="2"/>
  <c r="A29" i="2"/>
</calcChain>
</file>

<file path=xl/sharedStrings.xml><?xml version="1.0" encoding="utf-8"?>
<sst xmlns="http://schemas.openxmlformats.org/spreadsheetml/2006/main" count="307" uniqueCount="104">
  <si>
    <t>Name</t>
  </si>
  <si>
    <t>SheetRef</t>
  </si>
  <si>
    <t>GenInfo</t>
  </si>
  <si>
    <t>Def. Link</t>
  </si>
  <si>
    <t>EXT REFS</t>
  </si>
  <si>
    <t>Def. Form</t>
  </si>
  <si>
    <t>Calc Macro</t>
  </si>
  <si>
    <t>Highest#</t>
  </si>
  <si>
    <t>Ptree1 Compatibility</t>
  </si>
  <si>
    <t>Eval. Function</t>
  </si>
  <si>
    <t>Creation Version</t>
  </si>
  <si>
    <t>Required Version</t>
  </si>
  <si>
    <t>Recommended Version</t>
  </si>
  <si>
    <t>Last Modified By Version</t>
  </si>
  <si>
    <t>Output Label</t>
  </si>
  <si>
    <t>Output Value NF</t>
  </si>
  <si>
    <t>Output Prob NF</t>
  </si>
  <si>
    <t>Input Value NF</t>
  </si>
  <si>
    <t>Input Prob NF</t>
  </si>
  <si>
    <t>R-Value Ref.</t>
  </si>
  <si>
    <t>Anchor Cell</t>
  </si>
  <si>
    <t>Branch Name</t>
  </si>
  <si>
    <t>bformtype</t>
  </si>
  <si>
    <t>valformula</t>
  </si>
  <si>
    <t>pbformula</t>
  </si>
  <si>
    <t>distribution</t>
  </si>
  <si>
    <t>cumPayoffFunction</t>
  </si>
  <si>
    <t>link</t>
  </si>
  <si>
    <t>ENDNODEFORMULA</t>
  </si>
  <si>
    <t>VAL</t>
  </si>
  <si>
    <t>PB</t>
  </si>
  <si>
    <t>IntRefs</t>
  </si>
  <si>
    <t>RefRefs</t>
  </si>
  <si>
    <t>NodeNames</t>
  </si>
  <si>
    <t>Collapsed</t>
  </si>
  <si>
    <t>=</t>
  </si>
  <si>
    <t>6.0.0</t>
  </si>
  <si>
    <t>5.0.0</t>
  </si>
  <si>
    <t>&lt;NF&gt;</t>
  </si>
  <si>
    <t>Automatic</t>
  </si>
  <si>
    <t/>
  </si>
  <si>
    <t>DEFAULT</t>
  </si>
  <si>
    <t>0</t>
  </si>
  <si>
    <t>0,1,1,0,0,Exponential, 0,0,-1,0,-1,-1,.0001</t>
  </si>
  <si>
    <t>Place a bid</t>
  </si>
  <si>
    <t>4,0,0,0,1,0,0</t>
  </si>
  <si>
    <t>2,0,0,2,2,3,0,0,0</t>
  </si>
  <si>
    <t>Yes</t>
  </si>
  <si>
    <t>No</t>
  </si>
  <si>
    <t>Bid Amount</t>
  </si>
  <si>
    <t>2,0,0,3,4,5,6,1,0,0</t>
  </si>
  <si>
    <t>160000</t>
  </si>
  <si>
    <t>170000</t>
  </si>
  <si>
    <t>180000</t>
  </si>
  <si>
    <t>Any competing bid</t>
  </si>
  <si>
    <t>4,0,0,0,4,0,0</t>
  </si>
  <si>
    <t>1,0,0,2,7,8,2,0,0</t>
  </si>
  <si>
    <t>4,0,0,0,7,0,0</t>
  </si>
  <si>
    <t>1,0,0,2,9,10,4,0,0</t>
  </si>
  <si>
    <t>1,0,0,2,13,18,2,0,0</t>
  </si>
  <si>
    <t>4,0,0,0,13,0,0</t>
  </si>
  <si>
    <t>4,0,0,0,5,0,0</t>
  </si>
  <si>
    <t>1,0,0,2,19,24,2,0,0</t>
  </si>
  <si>
    <t>4,0,0,0,19,0,0</t>
  </si>
  <si>
    <t>4,0,0,0,6,0,0</t>
  </si>
  <si>
    <t>Underbid Competitor</t>
  </si>
  <si>
    <t>1,0,0,2,11,12,5,0,0</t>
  </si>
  <si>
    <t>1,0,0,2,14,15,6,0,0</t>
  </si>
  <si>
    <t>Bidding Decision</t>
  </si>
  <si>
    <t>Decision Tree Example</t>
  </si>
  <si>
    <t>Inputs to the model:</t>
  </si>
  <si>
    <t>Cost of placing a bid</t>
  </si>
  <si>
    <t>Cost of completing the project</t>
  </si>
  <si>
    <t>Probability of any competing bids</t>
  </si>
  <si>
    <t>Probability distribution of low competing bids (if any)</t>
  </si>
  <si>
    <t>Value</t>
  </si>
  <si>
    <t>Proability</t>
  </si>
  <si>
    <t>Less than $160,000</t>
  </si>
  <si>
    <t>Between $160000 and $170000</t>
  </si>
  <si>
    <t>Between $170000 and $180000</t>
  </si>
  <si>
    <t>Greater than $180000</t>
  </si>
  <si>
    <t>Assuming at least one competing bid</t>
  </si>
  <si>
    <t>Our bid</t>
  </si>
  <si>
    <t>Pobability of winning</t>
  </si>
  <si>
    <t>3364F8AB</t>
  </si>
  <si>
    <t>7.0.1</t>
  </si>
  <si>
    <t>234DBB4B</t>
  </si>
  <si>
    <t>Model GUID</t>
  </si>
  <si>
    <t>0,2,1,0,0,Exponential, 0,0,-1,0,-1,-1,.0001</t>
  </si>
  <si>
    <t>Bidding Decision Model</t>
  </si>
  <si>
    <t>Bid</t>
  </si>
  <si>
    <t>Amount of Bid</t>
  </si>
  <si>
    <t>160K</t>
  </si>
  <si>
    <t>170K</t>
  </si>
  <si>
    <t>180K</t>
  </si>
  <si>
    <t>Cometing Bid</t>
  </si>
  <si>
    <t>Outbidding Comps</t>
  </si>
  <si>
    <t>1,0,0,2,11,14,2,0,0</t>
  </si>
  <si>
    <t>1,0,0,2,12,13,5,0,0</t>
  </si>
  <si>
    <t>4,0,0,0,11,0,0</t>
  </si>
  <si>
    <t>1,0,0,2,15,18,2,0,0</t>
  </si>
  <si>
    <t>1,0,0,2,16,17,6,0,0</t>
  </si>
  <si>
    <t>4,0,0,0,15,0,0</t>
  </si>
  <si>
    <t>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</si>
</sst>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64" formatCode="&quot;$&quot;#,##0"/>
    <numFmt numFmtId="165" formatCode="[&gt;0.00001]0.0###%;[=0]0.0%;0.00E+00"/>
    <numFmt numFmtId="166" formatCode="_-[$$-1009]* #,##0.00_-;\-[$$-1009]* #,##0.00_-;_-[$$-1009]* &quot;-&quot;??_-;_-@_-"/>
  </numFmts>
  <fonts count="10" x14ac:knownFonts="1">
    <font>
      <sz val="11"/>
      <color theme="1"/>
      <name val="Calibri"/>
      <family val="2"/>
      <scheme val="minor"/>
    </font>
    <font>
      <sz val="11"/>
      <name val="Calibri"/>
      <family val="2"/>
      <scheme val="minor"/>
    </font>
    <font>
      <b/>
      <sz val="8"/>
      <color rgb="FF000080"/>
      <name val="Calibri"/>
      <family val="2"/>
      <scheme val="minor"/>
    </font>
    <font>
      <sz val="8"/>
      <color theme="1"/>
      <name val="Calibri"/>
      <family val="2"/>
      <scheme val="minor"/>
    </font>
    <font>
      <b/>
      <sz val="8"/>
      <color rgb="FF008000"/>
      <name val="Calibri"/>
      <family val="2"/>
      <scheme val="minor"/>
    </font>
    <font>
      <sz val="8"/>
      <color rgb="FF008000"/>
      <name val="Calibri"/>
      <family val="2"/>
      <scheme val="minor"/>
    </font>
    <font>
      <b/>
      <sz val="8"/>
      <color rgb="FF800000"/>
      <name val="Calibri"/>
      <family val="2"/>
      <scheme val="minor"/>
    </font>
    <font>
      <sz val="8"/>
      <color rgb="FF800000"/>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indexed="64"/>
      </top>
      <bottom style="medium">
        <color indexed="64"/>
      </bottom>
      <diagonal/>
    </border>
    <border>
      <left/>
      <right/>
      <top/>
      <bottom style="thin">
        <color indexed="64"/>
      </bottom>
      <diagonal/>
    </border>
  </borders>
  <cellStyleXfs count="2">
    <xf numFmtId="0" fontId="0" fillId="0" borderId="0"/>
    <xf numFmtId="9" fontId="8" fillId="0" borderId="0" applyFont="0" applyFill="0" applyBorder="0" applyAlignment="0" applyProtection="0"/>
  </cellStyleXfs>
  <cellXfs count="33">
    <xf numFmtId="0" fontId="0" fillId="0" borderId="0" xfId="0"/>
    <xf numFmtId="0" fontId="1" fillId="0" borderId="0" xfId="0" applyFont="1" applyAlignment="1">
      <alignment horizontal="right"/>
    </xf>
    <xf numFmtId="0" fontId="1" fillId="0" borderId="0" xfId="0" applyFont="1" applyAlignment="1">
      <alignment horizontal="left"/>
    </xf>
    <xf numFmtId="0" fontId="0" fillId="0" borderId="0" xfId="0" applyAlignment="1">
      <alignment horizontal="left"/>
    </xf>
    <xf numFmtId="2" fontId="1" fillId="0" borderId="0" xfId="0" applyNumberFormat="1" applyFont="1" applyAlignment="1">
      <alignment horizontal="right"/>
    </xf>
    <xf numFmtId="0" fontId="0" fillId="0" borderId="0" xfId="0" applyAlignment="1">
      <alignment horizontal="right"/>
    </xf>
    <xf numFmtId="0" fontId="0" fillId="0" borderId="0" xfId="0" quotePrefix="1" applyAlignment="1">
      <alignment horizontal="left"/>
    </xf>
    <xf numFmtId="165" fontId="2" fillId="0" borderId="0" xfId="0" applyNumberFormat="1" applyFont="1" applyAlignment="1">
      <alignment horizontal="center"/>
    </xf>
    <xf numFmtId="0" fontId="3" fillId="0" borderId="0" xfId="0" applyFont="1" applyAlignment="1">
      <alignment horizontal="right"/>
    </xf>
    <xf numFmtId="0" fontId="5" fillId="0" borderId="0" xfId="0" applyFont="1" applyAlignment="1">
      <alignment horizontal="center"/>
    </xf>
    <xf numFmtId="0" fontId="4" fillId="0" borderId="0" xfId="0" applyFont="1" applyAlignment="1">
      <alignment horizontal="right"/>
    </xf>
    <xf numFmtId="0" fontId="7" fillId="0" borderId="0" xfId="0" applyFont="1" applyAlignment="1">
      <alignment horizontal="center"/>
    </xf>
    <xf numFmtId="165" fontId="3" fillId="0" borderId="0" xfId="0" applyNumberFormat="1" applyFont="1" applyAlignment="1">
      <alignment horizontal="right"/>
    </xf>
    <xf numFmtId="164" fontId="3" fillId="0" borderId="0" xfId="0" applyNumberFormat="1" applyFont="1" applyAlignment="1">
      <alignment horizontal="right"/>
    </xf>
    <xf numFmtId="164" fontId="0" fillId="0" borderId="0" xfId="0" applyNumberFormat="1" applyAlignment="1">
      <alignment horizontal="left"/>
    </xf>
    <xf numFmtId="164" fontId="4" fillId="0" borderId="0" xfId="0" applyNumberFormat="1" applyFont="1" applyAlignment="1">
      <alignment horizontal="center"/>
    </xf>
    <xf numFmtId="164" fontId="2" fillId="0" borderId="0" xfId="0" applyNumberFormat="1" applyFont="1" applyAlignment="1">
      <alignment horizontal="center"/>
    </xf>
    <xf numFmtId="164" fontId="6" fillId="0" borderId="0" xfId="0" applyNumberFormat="1" applyFont="1" applyAlignment="1">
      <alignment horizontal="center"/>
    </xf>
    <xf numFmtId="0" fontId="9" fillId="2" borderId="1" xfId="0" applyFont="1" applyFill="1" applyBorder="1"/>
    <xf numFmtId="0" fontId="0" fillId="0" borderId="2" xfId="0" applyBorder="1"/>
    <xf numFmtId="0" fontId="9" fillId="0" borderId="0" xfId="0" applyFont="1"/>
    <xf numFmtId="9" fontId="0" fillId="0" borderId="0" xfId="1" applyFont="1"/>
    <xf numFmtId="6" fontId="0" fillId="0" borderId="0" xfId="0" applyNumberFormat="1"/>
    <xf numFmtId="166" fontId="0" fillId="0" borderId="0" xfId="0" applyNumberFormat="1" applyAlignment="1">
      <alignment horizontal="right"/>
    </xf>
    <xf numFmtId="9" fontId="0" fillId="0" borderId="2" xfId="1" applyFont="1" applyBorder="1" applyAlignment="1">
      <alignment horizontal="right"/>
    </xf>
    <xf numFmtId="0" fontId="9" fillId="0" borderId="0" xfId="0" applyFont="1" applyAlignment="1">
      <alignment horizontal="right"/>
    </xf>
    <xf numFmtId="9" fontId="0" fillId="0" borderId="0" xfId="1" applyFont="1" applyAlignment="1">
      <alignment horizontal="right"/>
    </xf>
    <xf numFmtId="0" fontId="0" fillId="2" borderId="1" xfId="0" applyFill="1" applyBorder="1" applyAlignment="1">
      <alignment horizontal="right"/>
    </xf>
    <xf numFmtId="0" fontId="9" fillId="2" borderId="1" xfId="0" applyFont="1" applyFill="1" applyBorder="1" applyAlignment="1">
      <alignment horizontal="right"/>
    </xf>
    <xf numFmtId="0" fontId="2"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166" fontId="3" fillId="0" borderId="0" xfId="0" applyNumberFormat="1" applyFont="1" applyAlignment="1">
      <alignment horizontal="right"/>
    </xf>
  </cellXfs>
  <cellStyles count="2">
    <cellStyle name="Normal" xfId="0" builtinId="0"/>
    <cellStyle name="Percent" xfId="1" builtinId="5"/>
  </cellStyles>
  <dxfs count="0"/>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242697</xdr:colOff>
      <xdr:row>27</xdr:row>
      <xdr:rowOff>185420</xdr:rowOff>
    </xdr:from>
    <xdr:to>
      <xdr:col>6</xdr:col>
      <xdr:colOff>127</xdr:colOff>
      <xdr:row>27</xdr:row>
      <xdr:rowOff>185420</xdr:rowOff>
    </xdr:to>
    <xdr:cxnSp macro="_xll.PtreeEvent_ObjectClick">
      <xdr:nvCxnSpPr>
        <xdr:cNvPr id="184" name="PTObj_DBranchHLine_1_15">
          <a:extLst>
            <a:ext uri="{FF2B5EF4-FFF2-40B4-BE49-F238E27FC236}">
              <a16:creationId xmlns:a16="http://schemas.microsoft.com/office/drawing/2014/main" id="{00000000-0008-0000-0000-0000B8000000}"/>
            </a:ext>
          </a:extLst>
        </xdr:cNvPr>
        <xdr:cNvCxnSpPr/>
      </xdr:nvCxnSpPr>
      <xdr:spPr>
        <a:xfrm>
          <a:off x="6929247" y="9919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25</xdr:row>
      <xdr:rowOff>180339</xdr:rowOff>
    </xdr:from>
    <xdr:to>
      <xdr:col>5</xdr:col>
      <xdr:colOff>242697</xdr:colOff>
      <xdr:row>27</xdr:row>
      <xdr:rowOff>185420</xdr:rowOff>
    </xdr:to>
    <xdr:cxnSp macro="_xll.PtreeEvent_ObjectClick">
      <xdr:nvCxnSpPr>
        <xdr:cNvPr id="183" name="PTObj_DBranchDLine_1_15">
          <a:extLst>
            <a:ext uri="{FF2B5EF4-FFF2-40B4-BE49-F238E27FC236}">
              <a16:creationId xmlns:a16="http://schemas.microsoft.com/office/drawing/2014/main" id="{00000000-0008-0000-0000-0000B7000000}"/>
            </a:ext>
          </a:extLst>
        </xdr:cNvPr>
        <xdr:cNvCxnSpPr/>
      </xdr:nvCxnSpPr>
      <xdr:spPr>
        <a:xfrm>
          <a:off x="6776847" y="953388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242697</xdr:colOff>
      <xdr:row>23</xdr:row>
      <xdr:rowOff>185420</xdr:rowOff>
    </xdr:from>
    <xdr:to>
      <xdr:col>6</xdr:col>
      <xdr:colOff>127</xdr:colOff>
      <xdr:row>23</xdr:row>
      <xdr:rowOff>185420</xdr:rowOff>
    </xdr:to>
    <xdr:cxnSp macro="_xll.PtreeEvent_ObjectClick">
      <xdr:nvCxnSpPr>
        <xdr:cNvPr id="180" name="PTObj_DBranchHLine_1_14">
          <a:extLst>
            <a:ext uri="{FF2B5EF4-FFF2-40B4-BE49-F238E27FC236}">
              <a16:creationId xmlns:a16="http://schemas.microsoft.com/office/drawing/2014/main" id="{00000000-0008-0000-0000-0000B4000000}"/>
            </a:ext>
          </a:extLst>
        </xdr:cNvPr>
        <xdr:cNvCxnSpPr/>
      </xdr:nvCxnSpPr>
      <xdr:spPr>
        <a:xfrm>
          <a:off x="6929247" y="9157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23</xdr:row>
      <xdr:rowOff>185420</xdr:rowOff>
    </xdr:from>
    <xdr:to>
      <xdr:col>5</xdr:col>
      <xdr:colOff>242697</xdr:colOff>
      <xdr:row>25</xdr:row>
      <xdr:rowOff>180339</xdr:rowOff>
    </xdr:to>
    <xdr:cxnSp macro="_xll.PtreeEvent_ObjectClick">
      <xdr:nvCxnSpPr>
        <xdr:cNvPr id="179" name="PTObj_DBranchDLine_1_14">
          <a:extLst>
            <a:ext uri="{FF2B5EF4-FFF2-40B4-BE49-F238E27FC236}">
              <a16:creationId xmlns:a16="http://schemas.microsoft.com/office/drawing/2014/main" id="{00000000-0008-0000-0000-0000B3000000}"/>
            </a:ext>
          </a:extLst>
        </xdr:cNvPr>
        <xdr:cNvCxnSpPr/>
      </xdr:nvCxnSpPr>
      <xdr:spPr>
        <a:xfrm flipV="1">
          <a:off x="6776847" y="915797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25</xdr:row>
      <xdr:rowOff>185420</xdr:rowOff>
    </xdr:from>
    <xdr:to>
      <xdr:col>5</xdr:col>
      <xdr:colOff>127</xdr:colOff>
      <xdr:row>25</xdr:row>
      <xdr:rowOff>185420</xdr:rowOff>
    </xdr:to>
    <xdr:cxnSp macro="_xll.PtreeEvent_ObjectClick">
      <xdr:nvCxnSpPr>
        <xdr:cNvPr id="176" name="PTObj_DBranchHLine_1_19">
          <a:extLst>
            <a:ext uri="{FF2B5EF4-FFF2-40B4-BE49-F238E27FC236}">
              <a16:creationId xmlns:a16="http://schemas.microsoft.com/office/drawing/2014/main" id="{00000000-0008-0000-0000-0000B0000000}"/>
            </a:ext>
          </a:extLst>
        </xdr:cNvPr>
        <xdr:cNvCxnSpPr/>
      </xdr:nvCxnSpPr>
      <xdr:spPr>
        <a:xfrm>
          <a:off x="5395722" y="9538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185420</xdr:rowOff>
    </xdr:from>
    <xdr:to>
      <xdr:col>4</xdr:col>
      <xdr:colOff>242697</xdr:colOff>
      <xdr:row>29</xdr:row>
      <xdr:rowOff>180339</xdr:rowOff>
    </xdr:to>
    <xdr:cxnSp macro="_xll.PtreeEvent_ObjectClick">
      <xdr:nvCxnSpPr>
        <xdr:cNvPr id="175" name="PTObj_DBranchDLine_1_19">
          <a:extLst>
            <a:ext uri="{FF2B5EF4-FFF2-40B4-BE49-F238E27FC236}">
              <a16:creationId xmlns:a16="http://schemas.microsoft.com/office/drawing/2014/main" id="{00000000-0008-0000-0000-0000AF000000}"/>
            </a:ext>
          </a:extLst>
        </xdr:cNvPr>
        <xdr:cNvCxnSpPr/>
      </xdr:nvCxnSpPr>
      <xdr:spPr>
        <a:xfrm flipV="1">
          <a:off x="5243322" y="9538970"/>
          <a:ext cx="152400" cy="756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242697</xdr:colOff>
      <xdr:row>17</xdr:row>
      <xdr:rowOff>185420</xdr:rowOff>
    </xdr:from>
    <xdr:to>
      <xdr:col>6</xdr:col>
      <xdr:colOff>127</xdr:colOff>
      <xdr:row>17</xdr:row>
      <xdr:rowOff>185420</xdr:rowOff>
    </xdr:to>
    <xdr:cxnSp macro="_xll.PtreeEvent_ObjectClick">
      <xdr:nvCxnSpPr>
        <xdr:cNvPr id="168" name="PTObj_DBranchHLine_1_12">
          <a:extLst>
            <a:ext uri="{FF2B5EF4-FFF2-40B4-BE49-F238E27FC236}">
              <a16:creationId xmlns:a16="http://schemas.microsoft.com/office/drawing/2014/main" id="{00000000-0008-0000-0000-0000A8000000}"/>
            </a:ext>
          </a:extLst>
        </xdr:cNvPr>
        <xdr:cNvCxnSpPr/>
      </xdr:nvCxnSpPr>
      <xdr:spPr>
        <a:xfrm>
          <a:off x="6929247" y="8014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15</xdr:row>
      <xdr:rowOff>180339</xdr:rowOff>
    </xdr:from>
    <xdr:to>
      <xdr:col>5</xdr:col>
      <xdr:colOff>242697</xdr:colOff>
      <xdr:row>17</xdr:row>
      <xdr:rowOff>185420</xdr:rowOff>
    </xdr:to>
    <xdr:cxnSp macro="_xll.PtreeEvent_ObjectClick">
      <xdr:nvCxnSpPr>
        <xdr:cNvPr id="167" name="PTObj_DBranchDLine_1_12">
          <a:extLst>
            <a:ext uri="{FF2B5EF4-FFF2-40B4-BE49-F238E27FC236}">
              <a16:creationId xmlns:a16="http://schemas.microsoft.com/office/drawing/2014/main" id="{00000000-0008-0000-0000-0000A7000000}"/>
            </a:ext>
          </a:extLst>
        </xdr:cNvPr>
        <xdr:cNvCxnSpPr/>
      </xdr:nvCxnSpPr>
      <xdr:spPr>
        <a:xfrm>
          <a:off x="6776847" y="762888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242697</xdr:colOff>
      <xdr:row>13</xdr:row>
      <xdr:rowOff>185420</xdr:rowOff>
    </xdr:from>
    <xdr:to>
      <xdr:col>6</xdr:col>
      <xdr:colOff>127</xdr:colOff>
      <xdr:row>13</xdr:row>
      <xdr:rowOff>185420</xdr:rowOff>
    </xdr:to>
    <xdr:cxnSp macro="_xll.PtreeEvent_ObjectClick">
      <xdr:nvCxnSpPr>
        <xdr:cNvPr id="164" name="PTObj_DBranchHLine_1_11">
          <a:extLst>
            <a:ext uri="{FF2B5EF4-FFF2-40B4-BE49-F238E27FC236}">
              <a16:creationId xmlns:a16="http://schemas.microsoft.com/office/drawing/2014/main" id="{00000000-0008-0000-0000-0000A4000000}"/>
            </a:ext>
          </a:extLst>
        </xdr:cNvPr>
        <xdr:cNvCxnSpPr/>
      </xdr:nvCxnSpPr>
      <xdr:spPr>
        <a:xfrm>
          <a:off x="6929247" y="7252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13</xdr:row>
      <xdr:rowOff>185420</xdr:rowOff>
    </xdr:from>
    <xdr:to>
      <xdr:col>5</xdr:col>
      <xdr:colOff>242697</xdr:colOff>
      <xdr:row>15</xdr:row>
      <xdr:rowOff>180339</xdr:rowOff>
    </xdr:to>
    <xdr:cxnSp macro="_xll.PtreeEvent_ObjectClick">
      <xdr:nvCxnSpPr>
        <xdr:cNvPr id="163" name="PTObj_DBranchDLine_1_11">
          <a:extLst>
            <a:ext uri="{FF2B5EF4-FFF2-40B4-BE49-F238E27FC236}">
              <a16:creationId xmlns:a16="http://schemas.microsoft.com/office/drawing/2014/main" id="{00000000-0008-0000-0000-0000A3000000}"/>
            </a:ext>
          </a:extLst>
        </xdr:cNvPr>
        <xdr:cNvCxnSpPr/>
      </xdr:nvCxnSpPr>
      <xdr:spPr>
        <a:xfrm flipV="1">
          <a:off x="6776847" y="725297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15</xdr:row>
      <xdr:rowOff>185420</xdr:rowOff>
    </xdr:from>
    <xdr:to>
      <xdr:col>5</xdr:col>
      <xdr:colOff>127</xdr:colOff>
      <xdr:row>15</xdr:row>
      <xdr:rowOff>185420</xdr:rowOff>
    </xdr:to>
    <xdr:cxnSp macro="_xll.PtreeEvent_ObjectClick">
      <xdr:nvCxnSpPr>
        <xdr:cNvPr id="160" name="PTObj_DBranchHLine_1_13">
          <a:extLst>
            <a:ext uri="{FF2B5EF4-FFF2-40B4-BE49-F238E27FC236}">
              <a16:creationId xmlns:a16="http://schemas.microsoft.com/office/drawing/2014/main" id="{00000000-0008-0000-0000-0000A0000000}"/>
            </a:ext>
          </a:extLst>
        </xdr:cNvPr>
        <xdr:cNvCxnSpPr/>
      </xdr:nvCxnSpPr>
      <xdr:spPr>
        <a:xfrm>
          <a:off x="5395722" y="7633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185420</xdr:rowOff>
    </xdr:from>
    <xdr:to>
      <xdr:col>4</xdr:col>
      <xdr:colOff>242697</xdr:colOff>
      <xdr:row>19</xdr:row>
      <xdr:rowOff>180339</xdr:rowOff>
    </xdr:to>
    <xdr:cxnSp macro="_xll.PtreeEvent_ObjectClick">
      <xdr:nvCxnSpPr>
        <xdr:cNvPr id="159" name="PTObj_DBranchDLine_1_13">
          <a:extLst>
            <a:ext uri="{FF2B5EF4-FFF2-40B4-BE49-F238E27FC236}">
              <a16:creationId xmlns:a16="http://schemas.microsoft.com/office/drawing/2014/main" id="{00000000-0008-0000-0000-00009F000000}"/>
            </a:ext>
          </a:extLst>
        </xdr:cNvPr>
        <xdr:cNvCxnSpPr/>
      </xdr:nvCxnSpPr>
      <xdr:spPr>
        <a:xfrm flipV="1">
          <a:off x="5243322" y="7633970"/>
          <a:ext cx="152400" cy="756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242697</xdr:colOff>
      <xdr:row>5</xdr:row>
      <xdr:rowOff>185420</xdr:rowOff>
    </xdr:from>
    <xdr:to>
      <xdr:col>6</xdr:col>
      <xdr:colOff>127</xdr:colOff>
      <xdr:row>5</xdr:row>
      <xdr:rowOff>185420</xdr:rowOff>
    </xdr:to>
    <xdr:cxnSp macro="_xll.PtreeEvent_ObjectClick">
      <xdr:nvCxnSpPr>
        <xdr:cNvPr id="144" name="PTObj_DBranchHLine_1_10">
          <a:extLst>
            <a:ext uri="{FF2B5EF4-FFF2-40B4-BE49-F238E27FC236}">
              <a16:creationId xmlns:a16="http://schemas.microsoft.com/office/drawing/2014/main" id="{00000000-0008-0000-0000-000090000000}"/>
            </a:ext>
          </a:extLst>
        </xdr:cNvPr>
        <xdr:cNvCxnSpPr/>
      </xdr:nvCxnSpPr>
      <xdr:spPr>
        <a:xfrm>
          <a:off x="6929247" y="5728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3</xdr:row>
      <xdr:rowOff>180340</xdr:rowOff>
    </xdr:from>
    <xdr:to>
      <xdr:col>5</xdr:col>
      <xdr:colOff>242697</xdr:colOff>
      <xdr:row>5</xdr:row>
      <xdr:rowOff>185420</xdr:rowOff>
    </xdr:to>
    <xdr:cxnSp macro="_xll.PtreeEvent_ObjectClick">
      <xdr:nvCxnSpPr>
        <xdr:cNvPr id="143" name="PTObj_DBranchDLine_1_10">
          <a:extLst>
            <a:ext uri="{FF2B5EF4-FFF2-40B4-BE49-F238E27FC236}">
              <a16:creationId xmlns:a16="http://schemas.microsoft.com/office/drawing/2014/main" id="{00000000-0008-0000-0000-00008F000000}"/>
            </a:ext>
          </a:extLst>
        </xdr:cNvPr>
        <xdr:cNvCxnSpPr/>
      </xdr:nvCxnSpPr>
      <xdr:spPr>
        <a:xfrm>
          <a:off x="6776847" y="534289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242697</xdr:colOff>
      <xdr:row>1</xdr:row>
      <xdr:rowOff>185420</xdr:rowOff>
    </xdr:from>
    <xdr:to>
      <xdr:col>6</xdr:col>
      <xdr:colOff>127</xdr:colOff>
      <xdr:row>1</xdr:row>
      <xdr:rowOff>185420</xdr:rowOff>
    </xdr:to>
    <xdr:cxnSp macro="_xll.PtreeEvent_ObjectClick">
      <xdr:nvCxnSpPr>
        <xdr:cNvPr id="140" name="PTObj_DBranchHLine_1_9">
          <a:extLst>
            <a:ext uri="{FF2B5EF4-FFF2-40B4-BE49-F238E27FC236}">
              <a16:creationId xmlns:a16="http://schemas.microsoft.com/office/drawing/2014/main" id="{00000000-0008-0000-0000-00008C000000}"/>
            </a:ext>
          </a:extLst>
        </xdr:cNvPr>
        <xdr:cNvCxnSpPr/>
      </xdr:nvCxnSpPr>
      <xdr:spPr>
        <a:xfrm>
          <a:off x="6929247" y="4966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90297</xdr:colOff>
      <xdr:row>1</xdr:row>
      <xdr:rowOff>185420</xdr:rowOff>
    </xdr:from>
    <xdr:to>
      <xdr:col>5</xdr:col>
      <xdr:colOff>242697</xdr:colOff>
      <xdr:row>3</xdr:row>
      <xdr:rowOff>180340</xdr:rowOff>
    </xdr:to>
    <xdr:cxnSp macro="_xll.PtreeEvent_ObjectClick">
      <xdr:nvCxnSpPr>
        <xdr:cNvPr id="139" name="PTObj_DBranchDLine_1_9">
          <a:extLst>
            <a:ext uri="{FF2B5EF4-FFF2-40B4-BE49-F238E27FC236}">
              <a16:creationId xmlns:a16="http://schemas.microsoft.com/office/drawing/2014/main" id="{00000000-0008-0000-0000-00008B000000}"/>
            </a:ext>
          </a:extLst>
        </xdr:cNvPr>
        <xdr:cNvCxnSpPr/>
      </xdr:nvCxnSpPr>
      <xdr:spPr>
        <a:xfrm flipV="1">
          <a:off x="6776847" y="496697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xdr:row>
      <xdr:rowOff>185420</xdr:rowOff>
    </xdr:from>
    <xdr:to>
      <xdr:col>5</xdr:col>
      <xdr:colOff>127</xdr:colOff>
      <xdr:row>3</xdr:row>
      <xdr:rowOff>185420</xdr:rowOff>
    </xdr:to>
    <xdr:cxnSp macro="_xll.PtreeEvent_ObjectClick">
      <xdr:nvCxnSpPr>
        <xdr:cNvPr id="136" name="PTObj_DBranchHLine_1_7">
          <a:extLst>
            <a:ext uri="{FF2B5EF4-FFF2-40B4-BE49-F238E27FC236}">
              <a16:creationId xmlns:a16="http://schemas.microsoft.com/office/drawing/2014/main" id="{00000000-0008-0000-0000-000088000000}"/>
            </a:ext>
          </a:extLst>
        </xdr:cNvPr>
        <xdr:cNvCxnSpPr/>
      </xdr:nvCxnSpPr>
      <xdr:spPr>
        <a:xfrm>
          <a:off x="5395722" y="4966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xdr:row>
      <xdr:rowOff>185420</xdr:rowOff>
    </xdr:from>
    <xdr:to>
      <xdr:col>4</xdr:col>
      <xdr:colOff>242697</xdr:colOff>
      <xdr:row>7</xdr:row>
      <xdr:rowOff>180340</xdr:rowOff>
    </xdr:to>
    <xdr:cxnSp macro="_xll.PtreeEvent_ObjectClick">
      <xdr:nvCxnSpPr>
        <xdr:cNvPr id="135" name="PTObj_DBranchDLine_1_7">
          <a:extLst>
            <a:ext uri="{FF2B5EF4-FFF2-40B4-BE49-F238E27FC236}">
              <a16:creationId xmlns:a16="http://schemas.microsoft.com/office/drawing/2014/main" id="{00000000-0008-0000-0000-000087000000}"/>
            </a:ext>
          </a:extLst>
        </xdr:cNvPr>
        <xdr:cNvCxnSpPr/>
      </xdr:nvCxnSpPr>
      <xdr:spPr>
        <a:xfrm flipV="1">
          <a:off x="5243322" y="496697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31</xdr:row>
      <xdr:rowOff>185420</xdr:rowOff>
    </xdr:from>
    <xdr:to>
      <xdr:col>5</xdr:col>
      <xdr:colOff>127</xdr:colOff>
      <xdr:row>31</xdr:row>
      <xdr:rowOff>185420</xdr:rowOff>
    </xdr:to>
    <xdr:cxnSp macro="_xll.PtreeEvent_ObjectClick">
      <xdr:nvCxnSpPr>
        <xdr:cNvPr id="128" name="PTObj_DBranchHLine_1_24">
          <a:extLst>
            <a:ext uri="{FF2B5EF4-FFF2-40B4-BE49-F238E27FC236}">
              <a16:creationId xmlns:a16="http://schemas.microsoft.com/office/drawing/2014/main" id="{00000000-0008-0000-0000-000080000000}"/>
            </a:ext>
          </a:extLst>
        </xdr:cNvPr>
        <xdr:cNvCxnSpPr/>
      </xdr:nvCxnSpPr>
      <xdr:spPr>
        <a:xfrm>
          <a:off x="5395722" y="12967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29</xdr:row>
      <xdr:rowOff>180339</xdr:rowOff>
    </xdr:from>
    <xdr:to>
      <xdr:col>4</xdr:col>
      <xdr:colOff>242697</xdr:colOff>
      <xdr:row>31</xdr:row>
      <xdr:rowOff>185420</xdr:rowOff>
    </xdr:to>
    <xdr:cxnSp macro="_xll.PtreeEvent_ObjectClick">
      <xdr:nvCxnSpPr>
        <xdr:cNvPr id="127" name="PTObj_DBranchDLine_1_24">
          <a:extLst>
            <a:ext uri="{FF2B5EF4-FFF2-40B4-BE49-F238E27FC236}">
              <a16:creationId xmlns:a16="http://schemas.microsoft.com/office/drawing/2014/main" id="{00000000-0008-0000-0000-00007F000000}"/>
            </a:ext>
          </a:extLst>
        </xdr:cNvPr>
        <xdr:cNvCxnSpPr/>
      </xdr:nvCxnSpPr>
      <xdr:spPr>
        <a:xfrm>
          <a:off x="5243322" y="1258188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29</xdr:row>
      <xdr:rowOff>185420</xdr:rowOff>
    </xdr:from>
    <xdr:to>
      <xdr:col>4</xdr:col>
      <xdr:colOff>127</xdr:colOff>
      <xdr:row>29</xdr:row>
      <xdr:rowOff>185420</xdr:rowOff>
    </xdr:to>
    <xdr:cxnSp macro="_xll.PtreeEvent_ObjectClick">
      <xdr:nvCxnSpPr>
        <xdr:cNvPr id="104" name="PTObj_DBranchHLine_1_6">
          <a:extLst>
            <a:ext uri="{FF2B5EF4-FFF2-40B4-BE49-F238E27FC236}">
              <a16:creationId xmlns:a16="http://schemas.microsoft.com/office/drawing/2014/main" id="{00000000-0008-0000-0000-000068000000}"/>
            </a:ext>
          </a:extLst>
        </xdr:cNvPr>
        <xdr:cNvCxnSpPr/>
      </xdr:nvCxnSpPr>
      <xdr:spPr>
        <a:xfrm>
          <a:off x="3852672" y="12586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11</xdr:row>
      <xdr:rowOff>180339</xdr:rowOff>
    </xdr:from>
    <xdr:to>
      <xdr:col>3</xdr:col>
      <xdr:colOff>242697</xdr:colOff>
      <xdr:row>29</xdr:row>
      <xdr:rowOff>185420</xdr:rowOff>
    </xdr:to>
    <xdr:cxnSp macro="_xll.PtreeEvent_ObjectClick">
      <xdr:nvCxnSpPr>
        <xdr:cNvPr id="103" name="PTObj_DBranchDLine_1_6">
          <a:extLst>
            <a:ext uri="{FF2B5EF4-FFF2-40B4-BE49-F238E27FC236}">
              <a16:creationId xmlns:a16="http://schemas.microsoft.com/office/drawing/2014/main" id="{00000000-0008-0000-0000-000067000000}"/>
            </a:ext>
          </a:extLst>
        </xdr:cNvPr>
        <xdr:cNvCxnSpPr/>
      </xdr:nvCxnSpPr>
      <xdr:spPr>
        <a:xfrm>
          <a:off x="3700272" y="7628889"/>
          <a:ext cx="152400" cy="4958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21</xdr:row>
      <xdr:rowOff>185420</xdr:rowOff>
    </xdr:from>
    <xdr:to>
      <xdr:col>5</xdr:col>
      <xdr:colOff>127</xdr:colOff>
      <xdr:row>21</xdr:row>
      <xdr:rowOff>185420</xdr:rowOff>
    </xdr:to>
    <xdr:cxnSp macro="_xll.PtreeEvent_ObjectClick">
      <xdr:nvCxnSpPr>
        <xdr:cNvPr id="96" name="PTObj_DBranchHLine_1_18">
          <a:extLst>
            <a:ext uri="{FF2B5EF4-FFF2-40B4-BE49-F238E27FC236}">
              <a16:creationId xmlns:a16="http://schemas.microsoft.com/office/drawing/2014/main" id="{00000000-0008-0000-0000-000060000000}"/>
            </a:ext>
          </a:extLst>
        </xdr:cNvPr>
        <xdr:cNvCxnSpPr/>
      </xdr:nvCxnSpPr>
      <xdr:spPr>
        <a:xfrm>
          <a:off x="5395722" y="10300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19</xdr:row>
      <xdr:rowOff>180339</xdr:rowOff>
    </xdr:from>
    <xdr:to>
      <xdr:col>4</xdr:col>
      <xdr:colOff>242697</xdr:colOff>
      <xdr:row>21</xdr:row>
      <xdr:rowOff>185420</xdr:rowOff>
    </xdr:to>
    <xdr:cxnSp macro="_xll.PtreeEvent_ObjectClick">
      <xdr:nvCxnSpPr>
        <xdr:cNvPr id="95" name="PTObj_DBranchDLine_1_18">
          <a:extLst>
            <a:ext uri="{FF2B5EF4-FFF2-40B4-BE49-F238E27FC236}">
              <a16:creationId xmlns:a16="http://schemas.microsoft.com/office/drawing/2014/main" id="{00000000-0008-0000-0000-00005F000000}"/>
            </a:ext>
          </a:extLst>
        </xdr:cNvPr>
        <xdr:cNvCxnSpPr/>
      </xdr:nvCxnSpPr>
      <xdr:spPr>
        <a:xfrm>
          <a:off x="5243322" y="991488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19</xdr:row>
      <xdr:rowOff>185420</xdr:rowOff>
    </xdr:from>
    <xdr:to>
      <xdr:col>4</xdr:col>
      <xdr:colOff>127</xdr:colOff>
      <xdr:row>19</xdr:row>
      <xdr:rowOff>185420</xdr:rowOff>
    </xdr:to>
    <xdr:cxnSp macro="_xll.PtreeEvent_ObjectClick">
      <xdr:nvCxnSpPr>
        <xdr:cNvPr id="72" name="PTObj_DBranchHLine_1_5">
          <a:extLst>
            <a:ext uri="{FF2B5EF4-FFF2-40B4-BE49-F238E27FC236}">
              <a16:creationId xmlns:a16="http://schemas.microsoft.com/office/drawing/2014/main" id="{00000000-0008-0000-0000-000048000000}"/>
            </a:ext>
          </a:extLst>
        </xdr:cNvPr>
        <xdr:cNvCxnSpPr/>
      </xdr:nvCxnSpPr>
      <xdr:spPr>
        <a:xfrm>
          <a:off x="3852672" y="9919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11</xdr:row>
      <xdr:rowOff>180339</xdr:rowOff>
    </xdr:from>
    <xdr:to>
      <xdr:col>3</xdr:col>
      <xdr:colOff>242697</xdr:colOff>
      <xdr:row>19</xdr:row>
      <xdr:rowOff>185420</xdr:rowOff>
    </xdr:to>
    <xdr:cxnSp macro="_xll.PtreeEvent_ObjectClick">
      <xdr:nvCxnSpPr>
        <xdr:cNvPr id="71" name="PTObj_DBranchDLine_1_5">
          <a:extLst>
            <a:ext uri="{FF2B5EF4-FFF2-40B4-BE49-F238E27FC236}">
              <a16:creationId xmlns:a16="http://schemas.microsoft.com/office/drawing/2014/main" id="{00000000-0008-0000-0000-000047000000}"/>
            </a:ext>
          </a:extLst>
        </xdr:cNvPr>
        <xdr:cNvCxnSpPr/>
      </xdr:nvCxnSpPr>
      <xdr:spPr>
        <a:xfrm>
          <a:off x="3700272" y="7628889"/>
          <a:ext cx="152400" cy="2291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9</xdr:row>
      <xdr:rowOff>185420</xdr:rowOff>
    </xdr:from>
    <xdr:to>
      <xdr:col>5</xdr:col>
      <xdr:colOff>127</xdr:colOff>
      <xdr:row>9</xdr:row>
      <xdr:rowOff>185420</xdr:rowOff>
    </xdr:to>
    <xdr:cxnSp macro="_xll.PtreeEvent_ObjectClick">
      <xdr:nvCxnSpPr>
        <xdr:cNvPr id="44" name="PTObj_DBranchHLine_1_8">
          <a:extLst>
            <a:ext uri="{FF2B5EF4-FFF2-40B4-BE49-F238E27FC236}">
              <a16:creationId xmlns:a16="http://schemas.microsoft.com/office/drawing/2014/main" id="{00000000-0008-0000-0000-00002C000000}"/>
            </a:ext>
          </a:extLst>
        </xdr:cNvPr>
        <xdr:cNvCxnSpPr/>
      </xdr:nvCxnSpPr>
      <xdr:spPr>
        <a:xfrm>
          <a:off x="5395722" y="5728970"/>
          <a:ext cx="11480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7</xdr:row>
      <xdr:rowOff>180340</xdr:rowOff>
    </xdr:from>
    <xdr:to>
      <xdr:col>4</xdr:col>
      <xdr:colOff>242697</xdr:colOff>
      <xdr:row>9</xdr:row>
      <xdr:rowOff>185420</xdr:rowOff>
    </xdr:to>
    <xdr:cxnSp macro="_xll.PtreeEvent_ObjectClick">
      <xdr:nvCxnSpPr>
        <xdr:cNvPr id="43" name="PTObj_DBranchDLine_1_8">
          <a:extLst>
            <a:ext uri="{FF2B5EF4-FFF2-40B4-BE49-F238E27FC236}">
              <a16:creationId xmlns:a16="http://schemas.microsoft.com/office/drawing/2014/main" id="{00000000-0008-0000-0000-00002B000000}"/>
            </a:ext>
          </a:extLst>
        </xdr:cNvPr>
        <xdr:cNvCxnSpPr/>
      </xdr:nvCxnSpPr>
      <xdr:spPr>
        <a:xfrm>
          <a:off x="5243322" y="534289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7</xdr:row>
      <xdr:rowOff>185420</xdr:rowOff>
    </xdr:from>
    <xdr:to>
      <xdr:col>4</xdr:col>
      <xdr:colOff>127</xdr:colOff>
      <xdr:row>7</xdr:row>
      <xdr:rowOff>185420</xdr:rowOff>
    </xdr:to>
    <xdr:cxnSp macro="_xll.PtreeEvent_ObjectClick">
      <xdr:nvCxnSpPr>
        <xdr:cNvPr id="36" name="PTObj_DBranchHLine_1_4">
          <a:extLst>
            <a:ext uri="{FF2B5EF4-FFF2-40B4-BE49-F238E27FC236}">
              <a16:creationId xmlns:a16="http://schemas.microsoft.com/office/drawing/2014/main" id="{00000000-0008-0000-0000-000024000000}"/>
            </a:ext>
          </a:extLst>
        </xdr:cNvPr>
        <xdr:cNvCxnSpPr/>
      </xdr:nvCxnSpPr>
      <xdr:spPr>
        <a:xfrm>
          <a:off x="3852672" y="496697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7</xdr:row>
      <xdr:rowOff>185420</xdr:rowOff>
    </xdr:from>
    <xdr:to>
      <xdr:col>3</xdr:col>
      <xdr:colOff>242697</xdr:colOff>
      <xdr:row>11</xdr:row>
      <xdr:rowOff>180340</xdr:rowOff>
    </xdr:to>
    <xdr:cxnSp macro="_xll.PtreeEvent_ObjectClick">
      <xdr:nvCxnSpPr>
        <xdr:cNvPr id="35" name="PTObj_DBranchDLine_1_4">
          <a:extLst>
            <a:ext uri="{FF2B5EF4-FFF2-40B4-BE49-F238E27FC236}">
              <a16:creationId xmlns:a16="http://schemas.microsoft.com/office/drawing/2014/main" id="{00000000-0008-0000-0000-000023000000}"/>
            </a:ext>
          </a:extLst>
        </xdr:cNvPr>
        <xdr:cNvCxnSpPr/>
      </xdr:nvCxnSpPr>
      <xdr:spPr>
        <a:xfrm flipV="1">
          <a:off x="3700272" y="496697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11</xdr:row>
      <xdr:rowOff>185420</xdr:rowOff>
    </xdr:from>
    <xdr:to>
      <xdr:col>3</xdr:col>
      <xdr:colOff>127</xdr:colOff>
      <xdr:row>11</xdr:row>
      <xdr:rowOff>185420</xdr:rowOff>
    </xdr:to>
    <xdr:cxnSp macro="_xll.PtreeEvent_ObjectClick">
      <xdr:nvCxnSpPr>
        <xdr:cNvPr id="20" name="PTObj_DBranchHLine_1_2">
          <a:extLst>
            <a:ext uri="{FF2B5EF4-FFF2-40B4-BE49-F238E27FC236}">
              <a16:creationId xmlns:a16="http://schemas.microsoft.com/office/drawing/2014/main" id="{00000000-0008-0000-0000-000014000000}"/>
            </a:ext>
          </a:extLst>
        </xdr:cNvPr>
        <xdr:cNvCxnSpPr/>
      </xdr:nvCxnSpPr>
      <xdr:spPr>
        <a:xfrm>
          <a:off x="2319147" y="496697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11</xdr:row>
      <xdr:rowOff>185420</xdr:rowOff>
    </xdr:from>
    <xdr:to>
      <xdr:col>2</xdr:col>
      <xdr:colOff>242697</xdr:colOff>
      <xdr:row>33</xdr:row>
      <xdr:rowOff>180340</xdr:rowOff>
    </xdr:to>
    <xdr:cxnSp macro="_xll.PtreeEvent_ObjectClick">
      <xdr:nvCxnSpPr>
        <xdr:cNvPr id="19" name="PTObj_DBranchDLine_1_2">
          <a:extLst>
            <a:ext uri="{FF2B5EF4-FFF2-40B4-BE49-F238E27FC236}">
              <a16:creationId xmlns:a16="http://schemas.microsoft.com/office/drawing/2014/main" id="{00000000-0008-0000-0000-000013000000}"/>
            </a:ext>
          </a:extLst>
        </xdr:cNvPr>
        <xdr:cNvCxnSpPr/>
      </xdr:nvCxnSpPr>
      <xdr:spPr>
        <a:xfrm flipV="1">
          <a:off x="2166747" y="496697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35</xdr:row>
      <xdr:rowOff>185420</xdr:rowOff>
    </xdr:from>
    <xdr:to>
      <xdr:col>3</xdr:col>
      <xdr:colOff>127</xdr:colOff>
      <xdr:row>35</xdr:row>
      <xdr:rowOff>185420</xdr:rowOff>
    </xdr:to>
    <xdr:cxnSp macro="_xll.PtreeEvent_ObjectClick">
      <xdr:nvCxnSpPr>
        <xdr:cNvPr id="16" name="PTObj_DBranchHLine_1_3">
          <a:extLst>
            <a:ext uri="{FF2B5EF4-FFF2-40B4-BE49-F238E27FC236}">
              <a16:creationId xmlns:a16="http://schemas.microsoft.com/office/drawing/2014/main" id="{00000000-0008-0000-0000-000010000000}"/>
            </a:ext>
          </a:extLst>
        </xdr:cNvPr>
        <xdr:cNvCxnSpPr/>
      </xdr:nvCxnSpPr>
      <xdr:spPr>
        <a:xfrm>
          <a:off x="2319147" y="5728970"/>
          <a:ext cx="11480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33</xdr:row>
      <xdr:rowOff>180340</xdr:rowOff>
    </xdr:from>
    <xdr:to>
      <xdr:col>2</xdr:col>
      <xdr:colOff>242697</xdr:colOff>
      <xdr:row>35</xdr:row>
      <xdr:rowOff>185420</xdr:rowOff>
    </xdr:to>
    <xdr:cxnSp macro="_xll.PtreeEvent_ObjectClick">
      <xdr:nvCxnSpPr>
        <xdr:cNvPr id="15" name="PTObj_DBranchDLine_1_3">
          <a:extLst>
            <a:ext uri="{FF2B5EF4-FFF2-40B4-BE49-F238E27FC236}">
              <a16:creationId xmlns:a16="http://schemas.microsoft.com/office/drawing/2014/main" id="{00000000-0008-0000-0000-00000F000000}"/>
            </a:ext>
          </a:extLst>
        </xdr:cNvPr>
        <xdr:cNvCxnSpPr/>
      </xdr:nvCxnSpPr>
      <xdr:spPr>
        <a:xfrm>
          <a:off x="2166747" y="534289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33</xdr:row>
      <xdr:rowOff>185420</xdr:rowOff>
    </xdr:from>
    <xdr:to>
      <xdr:col>2</xdr:col>
      <xdr:colOff>127</xdr:colOff>
      <xdr:row>33</xdr:row>
      <xdr:rowOff>185420</xdr:rowOff>
    </xdr:to>
    <xdr:cxnSp macro="_xll.PtreeEvent_ObjectClick">
      <xdr:nvCxnSpPr>
        <xdr:cNvPr id="8" name="PTObj_DBranchHLine_1_1">
          <a:extLst>
            <a:ext uri="{FF2B5EF4-FFF2-40B4-BE49-F238E27FC236}">
              <a16:creationId xmlns:a16="http://schemas.microsoft.com/office/drawing/2014/main" id="{00000000-0008-0000-0000-000008000000}"/>
            </a:ext>
          </a:extLst>
        </xdr:cNvPr>
        <xdr:cNvCxnSpPr/>
      </xdr:nvCxnSpPr>
      <xdr:spPr>
        <a:xfrm>
          <a:off x="292100" y="4966970"/>
          <a:ext cx="178447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127</xdr:colOff>
      <xdr:row>33</xdr:row>
      <xdr:rowOff>90170</xdr:rowOff>
    </xdr:from>
    <xdr:to>
      <xdr:col>2</xdr:col>
      <xdr:colOff>190627</xdr:colOff>
      <xdr:row>34</xdr:row>
      <xdr:rowOff>90170</xdr:rowOff>
    </xdr:to>
    <xdr:sp macro="_xll.PtreeEvent_ObjectClick" textlink="">
      <xdr:nvSpPr>
        <xdr:cNvPr id="7" name="PTObj_DNode_1_1">
          <a:extLst>
            <a:ext uri="{FF2B5EF4-FFF2-40B4-BE49-F238E27FC236}">
              <a16:creationId xmlns:a16="http://schemas.microsoft.com/office/drawing/2014/main" id="{00000000-0008-0000-0000-000007000000}"/>
            </a:ext>
          </a:extLst>
        </xdr:cNvPr>
        <xdr:cNvSpPr/>
      </xdr:nvSpPr>
      <xdr:spPr>
        <a:xfrm>
          <a:off x="2076577" y="487172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215900</xdr:colOff>
      <xdr:row>33</xdr:row>
      <xdr:rowOff>95107</xdr:rowOff>
    </xdr:from>
    <xdr:ext cx="744306" cy="180627"/>
    <xdr:sp macro="_xll.PtreeEvent_ObjectClick" textlink="">
      <xdr:nvSpPr>
        <xdr:cNvPr id="9" name="PTObj_DBranchName_1_1">
          <a:extLst>
            <a:ext uri="{FF2B5EF4-FFF2-40B4-BE49-F238E27FC236}">
              <a16:creationId xmlns:a16="http://schemas.microsoft.com/office/drawing/2014/main" id="{00000000-0008-0000-0000-000009000000}"/>
            </a:ext>
          </a:extLst>
        </xdr:cNvPr>
        <xdr:cNvSpPr txBox="1"/>
      </xdr:nvSpPr>
      <xdr:spPr>
        <a:xfrm>
          <a:off x="330200" y="6381607"/>
          <a:ext cx="744306"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Bidding Decision</a:t>
          </a:r>
        </a:p>
      </xdr:txBody>
    </xdr:sp>
    <xdr:clientData/>
  </xdr:oneCellAnchor>
  <xdr:twoCellAnchor editAs="oneCell">
    <xdr:from>
      <xdr:col>3</xdr:col>
      <xdr:colOff>127</xdr:colOff>
      <xdr:row>35</xdr:row>
      <xdr:rowOff>90170</xdr:rowOff>
    </xdr:from>
    <xdr:to>
      <xdr:col>3</xdr:col>
      <xdr:colOff>190627</xdr:colOff>
      <xdr:row>36</xdr:row>
      <xdr:rowOff>90170</xdr:rowOff>
    </xdr:to>
    <xdr:sp macro="_xll.PtreeEvent_ObjectClick" textlink="">
      <xdr:nvSpPr>
        <xdr:cNvPr id="14" name="PTObj_DNode_1_3">
          <a:extLst>
            <a:ext uri="{FF2B5EF4-FFF2-40B4-BE49-F238E27FC236}">
              <a16:creationId xmlns:a16="http://schemas.microsoft.com/office/drawing/2014/main" id="{00000000-0008-0000-0000-00000E000000}"/>
            </a:ext>
          </a:extLst>
        </xdr:cNvPr>
        <xdr:cNvSpPr/>
      </xdr:nvSpPr>
      <xdr:spPr>
        <a:xfrm rot="-5400000">
          <a:off x="3467227" y="5633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280797</xdr:colOff>
      <xdr:row>35</xdr:row>
      <xdr:rowOff>95107</xdr:rowOff>
    </xdr:from>
    <xdr:ext cx="175753" cy="180627"/>
    <xdr:sp macro="_xll.PtreeEvent_ObjectClick" textlink="">
      <xdr:nvSpPr>
        <xdr:cNvPr id="17" name="PTObj_DBranchName_1_3">
          <a:extLst>
            <a:ext uri="{FF2B5EF4-FFF2-40B4-BE49-F238E27FC236}">
              <a16:creationId xmlns:a16="http://schemas.microsoft.com/office/drawing/2014/main" id="{00000000-0008-0000-0000-000011000000}"/>
            </a:ext>
          </a:extLst>
        </xdr:cNvPr>
        <xdr:cNvSpPr txBox="1"/>
      </xdr:nvSpPr>
      <xdr:spPr>
        <a:xfrm>
          <a:off x="2357247" y="5638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3</xdr:col>
      <xdr:colOff>127</xdr:colOff>
      <xdr:row>11</xdr:row>
      <xdr:rowOff>90170</xdr:rowOff>
    </xdr:from>
    <xdr:to>
      <xdr:col>3</xdr:col>
      <xdr:colOff>190627</xdr:colOff>
      <xdr:row>12</xdr:row>
      <xdr:rowOff>90170</xdr:rowOff>
    </xdr:to>
    <xdr:sp macro="_xll.PtreeEvent_ObjectClick" textlink="">
      <xdr:nvSpPr>
        <xdr:cNvPr id="18" name="PTObj_DNode_1_2">
          <a:extLst>
            <a:ext uri="{FF2B5EF4-FFF2-40B4-BE49-F238E27FC236}">
              <a16:creationId xmlns:a16="http://schemas.microsoft.com/office/drawing/2014/main" id="{00000000-0008-0000-0000-000012000000}"/>
            </a:ext>
          </a:extLst>
        </xdr:cNvPr>
        <xdr:cNvSpPr/>
      </xdr:nvSpPr>
      <xdr:spPr>
        <a:xfrm>
          <a:off x="3610102" y="487172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280797</xdr:colOff>
      <xdr:row>11</xdr:row>
      <xdr:rowOff>95107</xdr:rowOff>
    </xdr:from>
    <xdr:ext cx="196592" cy="180627"/>
    <xdr:sp macro="_xll.PtreeEvent_ObjectClick" textlink="">
      <xdr:nvSpPr>
        <xdr:cNvPr id="21" name="PTObj_DBranchName_1_2">
          <a:extLst>
            <a:ext uri="{FF2B5EF4-FFF2-40B4-BE49-F238E27FC236}">
              <a16:creationId xmlns:a16="http://schemas.microsoft.com/office/drawing/2014/main" id="{00000000-0008-0000-0000-000015000000}"/>
            </a:ext>
          </a:extLst>
        </xdr:cNvPr>
        <xdr:cNvSpPr txBox="1"/>
      </xdr:nvSpPr>
      <xdr:spPr>
        <a:xfrm>
          <a:off x="2357247" y="4876657"/>
          <a:ext cx="196592"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4</xdr:col>
      <xdr:colOff>127</xdr:colOff>
      <xdr:row>7</xdr:row>
      <xdr:rowOff>90170</xdr:rowOff>
    </xdr:from>
    <xdr:to>
      <xdr:col>4</xdr:col>
      <xdr:colOff>190627</xdr:colOff>
      <xdr:row>8</xdr:row>
      <xdr:rowOff>90170</xdr:rowOff>
    </xdr:to>
    <xdr:sp macro="_xll.PtreeEvent_ObjectClick" textlink="">
      <xdr:nvSpPr>
        <xdr:cNvPr id="34" name="PTObj_DNode_1_4">
          <a:extLst>
            <a:ext uri="{FF2B5EF4-FFF2-40B4-BE49-F238E27FC236}">
              <a16:creationId xmlns:a16="http://schemas.microsoft.com/office/drawing/2014/main" id="{00000000-0008-0000-0000-000022000000}"/>
            </a:ext>
          </a:extLst>
        </xdr:cNvPr>
        <xdr:cNvSpPr/>
      </xdr:nvSpPr>
      <xdr:spPr>
        <a:xfrm>
          <a:off x="5153152" y="4871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280797</xdr:colOff>
      <xdr:row>7</xdr:row>
      <xdr:rowOff>95107</xdr:rowOff>
    </xdr:from>
    <xdr:ext cx="367408" cy="180627"/>
    <xdr:sp macro="_xll.PtreeEvent_ObjectClick" textlink="">
      <xdr:nvSpPr>
        <xdr:cNvPr id="37" name="PTObj_DBranchName_1_4">
          <a:extLst>
            <a:ext uri="{FF2B5EF4-FFF2-40B4-BE49-F238E27FC236}">
              <a16:creationId xmlns:a16="http://schemas.microsoft.com/office/drawing/2014/main" id="{00000000-0008-0000-0000-000025000000}"/>
            </a:ext>
          </a:extLst>
        </xdr:cNvPr>
        <xdr:cNvSpPr txBox="1"/>
      </xdr:nvSpPr>
      <xdr:spPr>
        <a:xfrm>
          <a:off x="3890772" y="4876657"/>
          <a:ext cx="367408"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160000</a:t>
          </a:r>
        </a:p>
      </xdr:txBody>
    </xdr:sp>
    <xdr:clientData/>
  </xdr:oneCellAnchor>
  <xdr:twoCellAnchor editAs="oneCell">
    <xdr:from>
      <xdr:col>5</xdr:col>
      <xdr:colOff>127</xdr:colOff>
      <xdr:row>9</xdr:row>
      <xdr:rowOff>90170</xdr:rowOff>
    </xdr:from>
    <xdr:to>
      <xdr:col>5</xdr:col>
      <xdr:colOff>190627</xdr:colOff>
      <xdr:row>10</xdr:row>
      <xdr:rowOff>90170</xdr:rowOff>
    </xdr:to>
    <xdr:sp macro="_xll.PtreeEvent_ObjectClick" textlink="">
      <xdr:nvSpPr>
        <xdr:cNvPr id="42" name="PTObj_DNode_1_8">
          <a:extLst>
            <a:ext uri="{FF2B5EF4-FFF2-40B4-BE49-F238E27FC236}">
              <a16:creationId xmlns:a16="http://schemas.microsoft.com/office/drawing/2014/main" id="{00000000-0008-0000-0000-00002A000000}"/>
            </a:ext>
          </a:extLst>
        </xdr:cNvPr>
        <xdr:cNvSpPr/>
      </xdr:nvSpPr>
      <xdr:spPr>
        <a:xfrm rot="-5400000">
          <a:off x="6543802" y="5633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9</xdr:row>
      <xdr:rowOff>95107</xdr:rowOff>
    </xdr:from>
    <xdr:ext cx="175753" cy="180627"/>
    <xdr:sp macro="_xll.PtreeEvent_ObjectClick" textlink="">
      <xdr:nvSpPr>
        <xdr:cNvPr id="45" name="PTObj_DBranchName_1_8">
          <a:extLst>
            <a:ext uri="{FF2B5EF4-FFF2-40B4-BE49-F238E27FC236}">
              <a16:creationId xmlns:a16="http://schemas.microsoft.com/office/drawing/2014/main" id="{00000000-0008-0000-0000-00002D000000}"/>
            </a:ext>
          </a:extLst>
        </xdr:cNvPr>
        <xdr:cNvSpPr txBox="1"/>
      </xdr:nvSpPr>
      <xdr:spPr>
        <a:xfrm>
          <a:off x="5433822" y="5638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4</xdr:col>
      <xdr:colOff>127</xdr:colOff>
      <xdr:row>19</xdr:row>
      <xdr:rowOff>90170</xdr:rowOff>
    </xdr:from>
    <xdr:to>
      <xdr:col>4</xdr:col>
      <xdr:colOff>190627</xdr:colOff>
      <xdr:row>20</xdr:row>
      <xdr:rowOff>90170</xdr:rowOff>
    </xdr:to>
    <xdr:sp macro="_xll.PtreeEvent_ObjectClick" textlink="">
      <xdr:nvSpPr>
        <xdr:cNvPr id="70" name="PTObj_DNode_1_5">
          <a:extLst>
            <a:ext uri="{FF2B5EF4-FFF2-40B4-BE49-F238E27FC236}">
              <a16:creationId xmlns:a16="http://schemas.microsoft.com/office/drawing/2014/main" id="{00000000-0008-0000-0000-000046000000}"/>
            </a:ext>
          </a:extLst>
        </xdr:cNvPr>
        <xdr:cNvSpPr/>
      </xdr:nvSpPr>
      <xdr:spPr>
        <a:xfrm>
          <a:off x="5153152" y="9824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280797</xdr:colOff>
      <xdr:row>19</xdr:row>
      <xdr:rowOff>95107</xdr:rowOff>
    </xdr:from>
    <xdr:ext cx="367408" cy="180627"/>
    <xdr:sp macro="_xll.PtreeEvent_ObjectClick" textlink="">
      <xdr:nvSpPr>
        <xdr:cNvPr id="73" name="PTObj_DBranchName_1_5">
          <a:extLst>
            <a:ext uri="{FF2B5EF4-FFF2-40B4-BE49-F238E27FC236}">
              <a16:creationId xmlns:a16="http://schemas.microsoft.com/office/drawing/2014/main" id="{00000000-0008-0000-0000-000049000000}"/>
            </a:ext>
          </a:extLst>
        </xdr:cNvPr>
        <xdr:cNvSpPr txBox="1"/>
      </xdr:nvSpPr>
      <xdr:spPr>
        <a:xfrm>
          <a:off x="3890772" y="9829657"/>
          <a:ext cx="36740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170000</a:t>
          </a:r>
        </a:p>
      </xdr:txBody>
    </xdr:sp>
    <xdr:clientData/>
  </xdr:oneCellAnchor>
  <xdr:twoCellAnchor editAs="oneCell">
    <xdr:from>
      <xdr:col>5</xdr:col>
      <xdr:colOff>127</xdr:colOff>
      <xdr:row>21</xdr:row>
      <xdr:rowOff>90170</xdr:rowOff>
    </xdr:from>
    <xdr:to>
      <xdr:col>5</xdr:col>
      <xdr:colOff>190627</xdr:colOff>
      <xdr:row>22</xdr:row>
      <xdr:rowOff>90170</xdr:rowOff>
    </xdr:to>
    <xdr:sp macro="_xll.PtreeEvent_ObjectClick" textlink="">
      <xdr:nvSpPr>
        <xdr:cNvPr id="94" name="PTObj_DNode_1_18">
          <a:extLst>
            <a:ext uri="{FF2B5EF4-FFF2-40B4-BE49-F238E27FC236}">
              <a16:creationId xmlns:a16="http://schemas.microsoft.com/office/drawing/2014/main" id="{00000000-0008-0000-0000-00005E000000}"/>
            </a:ext>
          </a:extLst>
        </xdr:cNvPr>
        <xdr:cNvSpPr/>
      </xdr:nvSpPr>
      <xdr:spPr>
        <a:xfrm rot="-5400000">
          <a:off x="6686677" y="10205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21</xdr:row>
      <xdr:rowOff>95107</xdr:rowOff>
    </xdr:from>
    <xdr:ext cx="175753" cy="180627"/>
    <xdr:sp macro="_xll.PtreeEvent_ObjectClick" textlink="">
      <xdr:nvSpPr>
        <xdr:cNvPr id="97" name="PTObj_DBranchName_1_18">
          <a:extLst>
            <a:ext uri="{FF2B5EF4-FFF2-40B4-BE49-F238E27FC236}">
              <a16:creationId xmlns:a16="http://schemas.microsoft.com/office/drawing/2014/main" id="{00000000-0008-0000-0000-000061000000}"/>
            </a:ext>
          </a:extLst>
        </xdr:cNvPr>
        <xdr:cNvSpPr txBox="1"/>
      </xdr:nvSpPr>
      <xdr:spPr>
        <a:xfrm>
          <a:off x="5433822" y="10210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4</xdr:col>
      <xdr:colOff>127</xdr:colOff>
      <xdr:row>29</xdr:row>
      <xdr:rowOff>90170</xdr:rowOff>
    </xdr:from>
    <xdr:to>
      <xdr:col>4</xdr:col>
      <xdr:colOff>190627</xdr:colOff>
      <xdr:row>30</xdr:row>
      <xdr:rowOff>90170</xdr:rowOff>
    </xdr:to>
    <xdr:sp macro="_xll.PtreeEvent_ObjectClick" textlink="">
      <xdr:nvSpPr>
        <xdr:cNvPr id="102" name="PTObj_DNode_1_6">
          <a:extLst>
            <a:ext uri="{FF2B5EF4-FFF2-40B4-BE49-F238E27FC236}">
              <a16:creationId xmlns:a16="http://schemas.microsoft.com/office/drawing/2014/main" id="{00000000-0008-0000-0000-000066000000}"/>
            </a:ext>
          </a:extLst>
        </xdr:cNvPr>
        <xdr:cNvSpPr/>
      </xdr:nvSpPr>
      <xdr:spPr>
        <a:xfrm>
          <a:off x="5153152" y="12491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280797</xdr:colOff>
      <xdr:row>29</xdr:row>
      <xdr:rowOff>95107</xdr:rowOff>
    </xdr:from>
    <xdr:ext cx="367408" cy="180627"/>
    <xdr:sp macro="_xll.PtreeEvent_ObjectClick" textlink="">
      <xdr:nvSpPr>
        <xdr:cNvPr id="105" name="PTObj_DBranchName_1_6">
          <a:extLst>
            <a:ext uri="{FF2B5EF4-FFF2-40B4-BE49-F238E27FC236}">
              <a16:creationId xmlns:a16="http://schemas.microsoft.com/office/drawing/2014/main" id="{00000000-0008-0000-0000-000069000000}"/>
            </a:ext>
          </a:extLst>
        </xdr:cNvPr>
        <xdr:cNvSpPr txBox="1"/>
      </xdr:nvSpPr>
      <xdr:spPr>
        <a:xfrm>
          <a:off x="3890772" y="12496657"/>
          <a:ext cx="36740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180000</a:t>
          </a:r>
        </a:p>
      </xdr:txBody>
    </xdr:sp>
    <xdr:clientData/>
  </xdr:oneCellAnchor>
  <xdr:twoCellAnchor editAs="oneCell">
    <xdr:from>
      <xdr:col>5</xdr:col>
      <xdr:colOff>127</xdr:colOff>
      <xdr:row>31</xdr:row>
      <xdr:rowOff>90170</xdr:rowOff>
    </xdr:from>
    <xdr:to>
      <xdr:col>5</xdr:col>
      <xdr:colOff>190627</xdr:colOff>
      <xdr:row>32</xdr:row>
      <xdr:rowOff>90170</xdr:rowOff>
    </xdr:to>
    <xdr:sp macro="_xll.PtreeEvent_ObjectClick" textlink="">
      <xdr:nvSpPr>
        <xdr:cNvPr id="126" name="PTObj_DNode_1_24">
          <a:extLst>
            <a:ext uri="{FF2B5EF4-FFF2-40B4-BE49-F238E27FC236}">
              <a16:creationId xmlns:a16="http://schemas.microsoft.com/office/drawing/2014/main" id="{00000000-0008-0000-0000-00007E000000}"/>
            </a:ext>
          </a:extLst>
        </xdr:cNvPr>
        <xdr:cNvSpPr/>
      </xdr:nvSpPr>
      <xdr:spPr>
        <a:xfrm rot="-5400000">
          <a:off x="6686677" y="12872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31</xdr:row>
      <xdr:rowOff>95107</xdr:rowOff>
    </xdr:from>
    <xdr:ext cx="175753" cy="180627"/>
    <xdr:sp macro="_xll.PtreeEvent_ObjectClick" textlink="">
      <xdr:nvSpPr>
        <xdr:cNvPr id="129" name="PTObj_DBranchName_1_24">
          <a:extLst>
            <a:ext uri="{FF2B5EF4-FFF2-40B4-BE49-F238E27FC236}">
              <a16:creationId xmlns:a16="http://schemas.microsoft.com/office/drawing/2014/main" id="{00000000-0008-0000-0000-000081000000}"/>
            </a:ext>
          </a:extLst>
        </xdr:cNvPr>
        <xdr:cNvSpPr txBox="1"/>
      </xdr:nvSpPr>
      <xdr:spPr>
        <a:xfrm>
          <a:off x="5433822" y="12877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5</xdr:col>
      <xdr:colOff>127</xdr:colOff>
      <xdr:row>3</xdr:row>
      <xdr:rowOff>90170</xdr:rowOff>
    </xdr:from>
    <xdr:to>
      <xdr:col>5</xdr:col>
      <xdr:colOff>190627</xdr:colOff>
      <xdr:row>4</xdr:row>
      <xdr:rowOff>90170</xdr:rowOff>
    </xdr:to>
    <xdr:sp macro="_xll.PtreeEvent_ObjectClick" textlink="">
      <xdr:nvSpPr>
        <xdr:cNvPr id="134" name="PTObj_DNode_1_7">
          <a:extLst>
            <a:ext uri="{FF2B5EF4-FFF2-40B4-BE49-F238E27FC236}">
              <a16:creationId xmlns:a16="http://schemas.microsoft.com/office/drawing/2014/main" id="{00000000-0008-0000-0000-000086000000}"/>
            </a:ext>
          </a:extLst>
        </xdr:cNvPr>
        <xdr:cNvSpPr/>
      </xdr:nvSpPr>
      <xdr:spPr>
        <a:xfrm>
          <a:off x="6686677" y="4871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3</xdr:row>
      <xdr:rowOff>95107</xdr:rowOff>
    </xdr:from>
    <xdr:ext cx="196592" cy="180627"/>
    <xdr:sp macro="_xll.PtreeEvent_ObjectClick" textlink="">
      <xdr:nvSpPr>
        <xdr:cNvPr id="137" name="PTObj_DBranchName_1_7">
          <a:extLst>
            <a:ext uri="{FF2B5EF4-FFF2-40B4-BE49-F238E27FC236}">
              <a16:creationId xmlns:a16="http://schemas.microsoft.com/office/drawing/2014/main" id="{00000000-0008-0000-0000-000089000000}"/>
            </a:ext>
          </a:extLst>
        </xdr:cNvPr>
        <xdr:cNvSpPr txBox="1"/>
      </xdr:nvSpPr>
      <xdr:spPr>
        <a:xfrm>
          <a:off x="5433822" y="4876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1</xdr:row>
      <xdr:rowOff>90170</xdr:rowOff>
    </xdr:from>
    <xdr:to>
      <xdr:col>6</xdr:col>
      <xdr:colOff>190627</xdr:colOff>
      <xdr:row>2</xdr:row>
      <xdr:rowOff>90170</xdr:rowOff>
    </xdr:to>
    <xdr:sp macro="_xll.PtreeEvent_ObjectClick" textlink="">
      <xdr:nvSpPr>
        <xdr:cNvPr id="138" name="PTObj_DNode_1_9">
          <a:extLst>
            <a:ext uri="{FF2B5EF4-FFF2-40B4-BE49-F238E27FC236}">
              <a16:creationId xmlns:a16="http://schemas.microsoft.com/office/drawing/2014/main" id="{00000000-0008-0000-0000-00008A000000}"/>
            </a:ext>
          </a:extLst>
        </xdr:cNvPr>
        <xdr:cNvSpPr/>
      </xdr:nvSpPr>
      <xdr:spPr>
        <a:xfrm rot="-5400000">
          <a:off x="8229727" y="4871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1</xdr:row>
      <xdr:rowOff>95107</xdr:rowOff>
    </xdr:from>
    <xdr:ext cx="196592" cy="180627"/>
    <xdr:sp macro="_xll.PtreeEvent_ObjectClick" textlink="">
      <xdr:nvSpPr>
        <xdr:cNvPr id="141" name="PTObj_DBranchName_1_9">
          <a:extLst>
            <a:ext uri="{FF2B5EF4-FFF2-40B4-BE49-F238E27FC236}">
              <a16:creationId xmlns:a16="http://schemas.microsoft.com/office/drawing/2014/main" id="{00000000-0008-0000-0000-00008D000000}"/>
            </a:ext>
          </a:extLst>
        </xdr:cNvPr>
        <xdr:cNvSpPr txBox="1"/>
      </xdr:nvSpPr>
      <xdr:spPr>
        <a:xfrm>
          <a:off x="6967347" y="4876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5</xdr:row>
      <xdr:rowOff>90170</xdr:rowOff>
    </xdr:from>
    <xdr:to>
      <xdr:col>6</xdr:col>
      <xdr:colOff>190627</xdr:colOff>
      <xdr:row>6</xdr:row>
      <xdr:rowOff>90170</xdr:rowOff>
    </xdr:to>
    <xdr:sp macro="_xll.PtreeEvent_ObjectClick" textlink="">
      <xdr:nvSpPr>
        <xdr:cNvPr id="142" name="PTObj_DNode_1_10">
          <a:extLst>
            <a:ext uri="{FF2B5EF4-FFF2-40B4-BE49-F238E27FC236}">
              <a16:creationId xmlns:a16="http://schemas.microsoft.com/office/drawing/2014/main" id="{00000000-0008-0000-0000-00008E000000}"/>
            </a:ext>
          </a:extLst>
        </xdr:cNvPr>
        <xdr:cNvSpPr/>
      </xdr:nvSpPr>
      <xdr:spPr>
        <a:xfrm rot="-5400000">
          <a:off x="8229727" y="5633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5</xdr:row>
      <xdr:rowOff>95107</xdr:rowOff>
    </xdr:from>
    <xdr:ext cx="175753" cy="180627"/>
    <xdr:sp macro="_xll.PtreeEvent_ObjectClick" textlink="">
      <xdr:nvSpPr>
        <xdr:cNvPr id="145" name="PTObj_DBranchName_1_10">
          <a:extLst>
            <a:ext uri="{FF2B5EF4-FFF2-40B4-BE49-F238E27FC236}">
              <a16:creationId xmlns:a16="http://schemas.microsoft.com/office/drawing/2014/main" id="{00000000-0008-0000-0000-000091000000}"/>
            </a:ext>
          </a:extLst>
        </xdr:cNvPr>
        <xdr:cNvSpPr txBox="1"/>
      </xdr:nvSpPr>
      <xdr:spPr>
        <a:xfrm>
          <a:off x="6967347" y="5638657"/>
          <a:ext cx="17575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5</xdr:col>
      <xdr:colOff>127</xdr:colOff>
      <xdr:row>15</xdr:row>
      <xdr:rowOff>90170</xdr:rowOff>
    </xdr:from>
    <xdr:to>
      <xdr:col>5</xdr:col>
      <xdr:colOff>190627</xdr:colOff>
      <xdr:row>16</xdr:row>
      <xdr:rowOff>90170</xdr:rowOff>
    </xdr:to>
    <xdr:sp macro="_xll.PtreeEvent_ObjectClick" textlink="">
      <xdr:nvSpPr>
        <xdr:cNvPr id="158" name="PTObj_DNode_1_13">
          <a:extLst>
            <a:ext uri="{FF2B5EF4-FFF2-40B4-BE49-F238E27FC236}">
              <a16:creationId xmlns:a16="http://schemas.microsoft.com/office/drawing/2014/main" id="{00000000-0008-0000-0000-00009E000000}"/>
            </a:ext>
          </a:extLst>
        </xdr:cNvPr>
        <xdr:cNvSpPr/>
      </xdr:nvSpPr>
      <xdr:spPr>
        <a:xfrm>
          <a:off x="6686677" y="7538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15</xdr:row>
      <xdr:rowOff>95107</xdr:rowOff>
    </xdr:from>
    <xdr:ext cx="196592" cy="180627"/>
    <xdr:sp macro="_xll.PtreeEvent_ObjectClick" textlink="">
      <xdr:nvSpPr>
        <xdr:cNvPr id="161" name="PTObj_DBranchName_1_13">
          <a:extLst>
            <a:ext uri="{FF2B5EF4-FFF2-40B4-BE49-F238E27FC236}">
              <a16:creationId xmlns:a16="http://schemas.microsoft.com/office/drawing/2014/main" id="{00000000-0008-0000-0000-0000A1000000}"/>
            </a:ext>
          </a:extLst>
        </xdr:cNvPr>
        <xdr:cNvSpPr txBox="1"/>
      </xdr:nvSpPr>
      <xdr:spPr>
        <a:xfrm>
          <a:off x="5433822" y="7543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13</xdr:row>
      <xdr:rowOff>90170</xdr:rowOff>
    </xdr:from>
    <xdr:to>
      <xdr:col>6</xdr:col>
      <xdr:colOff>190627</xdr:colOff>
      <xdr:row>14</xdr:row>
      <xdr:rowOff>90170</xdr:rowOff>
    </xdr:to>
    <xdr:sp macro="_xll.PtreeEvent_ObjectClick" textlink="">
      <xdr:nvSpPr>
        <xdr:cNvPr id="162" name="PTObj_DNode_1_11">
          <a:extLst>
            <a:ext uri="{FF2B5EF4-FFF2-40B4-BE49-F238E27FC236}">
              <a16:creationId xmlns:a16="http://schemas.microsoft.com/office/drawing/2014/main" id="{00000000-0008-0000-0000-0000A2000000}"/>
            </a:ext>
          </a:extLst>
        </xdr:cNvPr>
        <xdr:cNvSpPr/>
      </xdr:nvSpPr>
      <xdr:spPr>
        <a:xfrm rot="-5400000">
          <a:off x="8229727" y="7157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13</xdr:row>
      <xdr:rowOff>95107</xdr:rowOff>
    </xdr:from>
    <xdr:ext cx="196592" cy="180627"/>
    <xdr:sp macro="_xll.PtreeEvent_ObjectClick" textlink="">
      <xdr:nvSpPr>
        <xdr:cNvPr id="165" name="PTObj_DBranchName_1_11">
          <a:extLst>
            <a:ext uri="{FF2B5EF4-FFF2-40B4-BE49-F238E27FC236}">
              <a16:creationId xmlns:a16="http://schemas.microsoft.com/office/drawing/2014/main" id="{00000000-0008-0000-0000-0000A5000000}"/>
            </a:ext>
          </a:extLst>
        </xdr:cNvPr>
        <xdr:cNvSpPr txBox="1"/>
      </xdr:nvSpPr>
      <xdr:spPr>
        <a:xfrm>
          <a:off x="6967347" y="7162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17</xdr:row>
      <xdr:rowOff>90170</xdr:rowOff>
    </xdr:from>
    <xdr:to>
      <xdr:col>6</xdr:col>
      <xdr:colOff>190627</xdr:colOff>
      <xdr:row>18</xdr:row>
      <xdr:rowOff>90170</xdr:rowOff>
    </xdr:to>
    <xdr:sp macro="_xll.PtreeEvent_ObjectClick" textlink="">
      <xdr:nvSpPr>
        <xdr:cNvPr id="166" name="PTObj_DNode_1_12">
          <a:extLst>
            <a:ext uri="{FF2B5EF4-FFF2-40B4-BE49-F238E27FC236}">
              <a16:creationId xmlns:a16="http://schemas.microsoft.com/office/drawing/2014/main" id="{00000000-0008-0000-0000-0000A6000000}"/>
            </a:ext>
          </a:extLst>
        </xdr:cNvPr>
        <xdr:cNvSpPr/>
      </xdr:nvSpPr>
      <xdr:spPr>
        <a:xfrm rot="-5400000">
          <a:off x="8229727" y="7919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17</xdr:row>
      <xdr:rowOff>95107</xdr:rowOff>
    </xdr:from>
    <xdr:ext cx="175753" cy="180627"/>
    <xdr:sp macro="_xll.PtreeEvent_ObjectClick" textlink="">
      <xdr:nvSpPr>
        <xdr:cNvPr id="169" name="PTObj_DBranchName_1_12">
          <a:extLst>
            <a:ext uri="{FF2B5EF4-FFF2-40B4-BE49-F238E27FC236}">
              <a16:creationId xmlns:a16="http://schemas.microsoft.com/office/drawing/2014/main" id="{00000000-0008-0000-0000-0000A9000000}"/>
            </a:ext>
          </a:extLst>
        </xdr:cNvPr>
        <xdr:cNvSpPr txBox="1"/>
      </xdr:nvSpPr>
      <xdr:spPr>
        <a:xfrm>
          <a:off x="6967347" y="7924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5</xdr:col>
      <xdr:colOff>127</xdr:colOff>
      <xdr:row>25</xdr:row>
      <xdr:rowOff>90170</xdr:rowOff>
    </xdr:from>
    <xdr:to>
      <xdr:col>5</xdr:col>
      <xdr:colOff>190627</xdr:colOff>
      <xdr:row>26</xdr:row>
      <xdr:rowOff>90170</xdr:rowOff>
    </xdr:to>
    <xdr:sp macro="_xll.PtreeEvent_ObjectClick" textlink="">
      <xdr:nvSpPr>
        <xdr:cNvPr id="174" name="PTObj_DNode_1_19">
          <a:extLst>
            <a:ext uri="{FF2B5EF4-FFF2-40B4-BE49-F238E27FC236}">
              <a16:creationId xmlns:a16="http://schemas.microsoft.com/office/drawing/2014/main" id="{00000000-0008-0000-0000-0000AE000000}"/>
            </a:ext>
          </a:extLst>
        </xdr:cNvPr>
        <xdr:cNvSpPr/>
      </xdr:nvSpPr>
      <xdr:spPr>
        <a:xfrm>
          <a:off x="6686677" y="944372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280797</xdr:colOff>
      <xdr:row>25</xdr:row>
      <xdr:rowOff>95107</xdr:rowOff>
    </xdr:from>
    <xdr:ext cx="196592" cy="180627"/>
    <xdr:sp macro="_xll.PtreeEvent_ObjectClick" textlink="">
      <xdr:nvSpPr>
        <xdr:cNvPr id="177" name="PTObj_DBranchName_1_19">
          <a:extLst>
            <a:ext uri="{FF2B5EF4-FFF2-40B4-BE49-F238E27FC236}">
              <a16:creationId xmlns:a16="http://schemas.microsoft.com/office/drawing/2014/main" id="{00000000-0008-0000-0000-0000B1000000}"/>
            </a:ext>
          </a:extLst>
        </xdr:cNvPr>
        <xdr:cNvSpPr txBox="1"/>
      </xdr:nvSpPr>
      <xdr:spPr>
        <a:xfrm>
          <a:off x="5433822" y="9448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23</xdr:row>
      <xdr:rowOff>90170</xdr:rowOff>
    </xdr:from>
    <xdr:to>
      <xdr:col>6</xdr:col>
      <xdr:colOff>190627</xdr:colOff>
      <xdr:row>24</xdr:row>
      <xdr:rowOff>90170</xdr:rowOff>
    </xdr:to>
    <xdr:sp macro="_xll.PtreeEvent_ObjectClick" textlink="">
      <xdr:nvSpPr>
        <xdr:cNvPr id="178" name="PTObj_DNode_1_14">
          <a:extLst>
            <a:ext uri="{FF2B5EF4-FFF2-40B4-BE49-F238E27FC236}">
              <a16:creationId xmlns:a16="http://schemas.microsoft.com/office/drawing/2014/main" id="{00000000-0008-0000-0000-0000B2000000}"/>
            </a:ext>
          </a:extLst>
        </xdr:cNvPr>
        <xdr:cNvSpPr/>
      </xdr:nvSpPr>
      <xdr:spPr>
        <a:xfrm rot="-5400000">
          <a:off x="8229727" y="9062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23</xdr:row>
      <xdr:rowOff>95107</xdr:rowOff>
    </xdr:from>
    <xdr:ext cx="196592" cy="180627"/>
    <xdr:sp macro="_xll.PtreeEvent_ObjectClick" textlink="">
      <xdr:nvSpPr>
        <xdr:cNvPr id="181" name="PTObj_DBranchName_1_14">
          <a:extLst>
            <a:ext uri="{FF2B5EF4-FFF2-40B4-BE49-F238E27FC236}">
              <a16:creationId xmlns:a16="http://schemas.microsoft.com/office/drawing/2014/main" id="{00000000-0008-0000-0000-0000B5000000}"/>
            </a:ext>
          </a:extLst>
        </xdr:cNvPr>
        <xdr:cNvSpPr txBox="1"/>
      </xdr:nvSpPr>
      <xdr:spPr>
        <a:xfrm>
          <a:off x="6967347" y="9067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6</xdr:col>
      <xdr:colOff>127</xdr:colOff>
      <xdr:row>27</xdr:row>
      <xdr:rowOff>90170</xdr:rowOff>
    </xdr:from>
    <xdr:to>
      <xdr:col>6</xdr:col>
      <xdr:colOff>190627</xdr:colOff>
      <xdr:row>28</xdr:row>
      <xdr:rowOff>90170</xdr:rowOff>
    </xdr:to>
    <xdr:sp macro="_xll.PtreeEvent_ObjectClick" textlink="">
      <xdr:nvSpPr>
        <xdr:cNvPr id="182" name="PTObj_DNode_1_15">
          <a:extLst>
            <a:ext uri="{FF2B5EF4-FFF2-40B4-BE49-F238E27FC236}">
              <a16:creationId xmlns:a16="http://schemas.microsoft.com/office/drawing/2014/main" id="{00000000-0008-0000-0000-0000B6000000}"/>
            </a:ext>
          </a:extLst>
        </xdr:cNvPr>
        <xdr:cNvSpPr/>
      </xdr:nvSpPr>
      <xdr:spPr>
        <a:xfrm rot="-5400000">
          <a:off x="8229727" y="982472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280797</xdr:colOff>
      <xdr:row>27</xdr:row>
      <xdr:rowOff>95107</xdr:rowOff>
    </xdr:from>
    <xdr:ext cx="175753" cy="180627"/>
    <xdr:sp macro="_xll.PtreeEvent_ObjectClick" textlink="">
      <xdr:nvSpPr>
        <xdr:cNvPr id="185" name="PTObj_DBranchName_1_15">
          <a:extLst>
            <a:ext uri="{FF2B5EF4-FFF2-40B4-BE49-F238E27FC236}">
              <a16:creationId xmlns:a16="http://schemas.microsoft.com/office/drawing/2014/main" id="{00000000-0008-0000-0000-0000B9000000}"/>
            </a:ext>
          </a:extLst>
        </xdr:cNvPr>
        <xdr:cNvSpPr txBox="1"/>
      </xdr:nvSpPr>
      <xdr:spPr>
        <a:xfrm>
          <a:off x="6967347" y="98296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absolute">
    <xdr:from>
      <xdr:col>6</xdr:col>
      <xdr:colOff>990599</xdr:colOff>
      <xdr:row>3</xdr:row>
      <xdr:rowOff>66675</xdr:rowOff>
    </xdr:from>
    <xdr:to>
      <xdr:col>17</xdr:col>
      <xdr:colOff>419099</xdr:colOff>
      <xdr:row>35</xdr:row>
      <xdr:rowOff>28575</xdr:rowOff>
    </xdr:to>
    <xdr:sp macro="" textlink="">
      <xdr:nvSpPr>
        <xdr:cNvPr id="74" name="Text Box 1">
          <a:extLst>
            <a:ext uri="{FF2B5EF4-FFF2-40B4-BE49-F238E27FC236}">
              <a16:creationId xmlns:a16="http://schemas.microsoft.com/office/drawing/2014/main" id="{00000000-0008-0000-0000-00004A000000}"/>
            </a:ext>
          </a:extLst>
        </xdr:cNvPr>
        <xdr:cNvSpPr txBox="1">
          <a:spLocks noChangeArrowheads="1"/>
        </xdr:cNvSpPr>
      </xdr:nvSpPr>
      <xdr:spPr bwMode="auto">
        <a:xfrm>
          <a:off x="9220199" y="638175"/>
          <a:ext cx="6638925" cy="6057900"/>
        </a:xfrm>
        <a:prstGeom prst="roundRect">
          <a:avLst>
            <a:gd name="adj" fmla="val 11495"/>
          </a:avLst>
        </a:prstGeom>
        <a:ln>
          <a:noFill/>
          <a:headEnd/>
          <a:tailEnd/>
        </a:ln>
        <a:effectLst>
          <a:outerShdw blurRad="177800" dist="63500" dir="2700000" algn="tl" rotWithShape="0">
            <a:prstClr val="black">
              <a:alpha val="35000"/>
            </a:prstClr>
          </a:outerShdw>
        </a:effectLst>
        <a:scene3d>
          <a:camera prst="orthographicFront"/>
          <a:lightRig rig="threePt" dir="t"/>
        </a:scene3d>
        <a:sp3d>
          <a:bevelT w="152400" h="50800" prst="softRound"/>
        </a:sp3d>
      </xdr:spPr>
      <xdr:style>
        <a:lnRef idx="2">
          <a:schemeClr val="accent2"/>
        </a:lnRef>
        <a:fillRef idx="1">
          <a:schemeClr val="lt1"/>
        </a:fillRef>
        <a:effectRef idx="0">
          <a:schemeClr val="accent2"/>
        </a:effectRef>
        <a:fontRef idx="minor">
          <a:schemeClr val="dk1"/>
        </a:fontRef>
      </xdr:style>
      <xdr:txBody>
        <a:bodyPr vertOverflow="clip" wrap="square" lIns="182880" tIns="182880" rIns="182880" bIns="182880" anchor="t" upright="1"/>
        <a:lstStyle/>
        <a:p>
          <a:pPr rtl="0"/>
          <a:endParaRPr lang="en-US" sz="1400" b="1" i="0" baseline="0">
            <a:solidFill>
              <a:schemeClr val="dk1"/>
            </a:solidFill>
            <a:effectLst/>
            <a:latin typeface="+mj-lt"/>
            <a:ea typeface="+mn-ea"/>
            <a:cs typeface="+mn-cs"/>
          </a:endParaRPr>
        </a:p>
        <a:p>
          <a:pPr rtl="0"/>
          <a:r>
            <a:rPr lang="en-US" sz="1400" b="1" i="0" baseline="0">
              <a:solidFill>
                <a:schemeClr val="dk1"/>
              </a:solidFill>
              <a:effectLst/>
              <a:latin typeface="+mj-lt"/>
              <a:ea typeface="+mn-ea"/>
              <a:cs typeface="+mn-cs"/>
            </a:rPr>
            <a:t>Basic PrecisionTree Model</a:t>
          </a:r>
        </a:p>
        <a:p>
          <a:pPr rtl="0"/>
          <a:endParaRPr lang="en-US" sz="1100">
            <a:effectLst/>
          </a:endParaRPr>
        </a:p>
        <a:p>
          <a:pPr rtl="0"/>
          <a:r>
            <a:rPr lang="en-US" sz="1100" b="0" i="0" baseline="0">
              <a:solidFill>
                <a:schemeClr val="dk1"/>
              </a:solidFill>
              <a:effectLst/>
              <a:latin typeface="+mn-lt"/>
              <a:ea typeface="+mn-ea"/>
              <a:cs typeface="+mn-cs"/>
            </a:rPr>
            <a:t>A technology company must decide whether to bid for a government contract to develop a piece of equipment, and if the company decides to bid, it must decide how much to bid. </a:t>
          </a:r>
        </a:p>
        <a:p>
          <a:pPr rtl="0"/>
          <a:endParaRPr lang="en-US" sz="1100" b="0" i="0" baseline="0">
            <a:solidFill>
              <a:schemeClr val="dk1"/>
            </a:solidFill>
            <a:effectLst/>
            <a:latin typeface="+mn-lt"/>
            <a:ea typeface="+mn-ea"/>
            <a:cs typeface="+mn-cs"/>
          </a:endParaRPr>
        </a:p>
        <a:p>
          <a:pPr rtl="0"/>
          <a:r>
            <a:rPr lang="en-US" sz="1100" b="0" i="0" baseline="0">
              <a:solidFill>
                <a:schemeClr val="dk1"/>
              </a:solidFill>
              <a:effectLst/>
              <a:latin typeface="+mn-lt"/>
              <a:ea typeface="+mn-ea"/>
              <a:cs typeface="+mn-cs"/>
            </a:rPr>
            <a:t>The government will award the contract to the low bidder. However, there is probability 0.2 that there will not be any other bidders. If there are other bidders, there is a probability distribution on the lowest of their bids: less than $160K with probability 0.2, between $160K and $170K with probability 0.4, between $170K and $180K with probability 0.3, and greater than $180K with probability 0.1. The company estimates that the cost of placing a bid is $7.5K and the cost of developing the equipment, given that it wins the contract, is $150K. So, for example, if the company bids $170K and wins the bid, its profit will be $20K less the cost of placing the bid. Also, the probability of winning the bid in this case is 0.2 (no competing bids) plus 0.8*0.4 (competing bids are greater than $170K).</a:t>
          </a:r>
        </a:p>
        <a:p>
          <a:pPr rtl="0"/>
          <a:endParaRPr lang="en-US" sz="1100" b="0" i="0" baseline="0">
            <a:solidFill>
              <a:schemeClr val="dk1"/>
            </a:solidFill>
            <a:effectLst/>
            <a:latin typeface="+mn-lt"/>
            <a:ea typeface="+mn-ea"/>
            <a:cs typeface="+mn-cs"/>
          </a:endParaRPr>
        </a:p>
        <a:p>
          <a:pPr rtl="0"/>
          <a:r>
            <a:rPr lang="en-US" sz="1100" b="0" i="0" baseline="0">
              <a:solidFill>
                <a:schemeClr val="dk1"/>
              </a:solidFill>
              <a:effectLst/>
              <a:latin typeface="+mn-lt"/>
              <a:ea typeface="+mn-ea"/>
              <a:cs typeface="+mn-cs"/>
            </a:rPr>
            <a:t>The tree for making these decisions is shown. Note that all probabilities and monetary values have been entered directly on the tree branches. (These are in the cells with black font. The cells with blue, green, or red font are reserved for PrecisionTree formulas.) This is always a possibility in a tree, and it tends to speed up the process of developing a tree. However, it is also possible, and often a good idea, to use formulas in tree branches to reference cells in an "Inputs" section of the worksheet. This is especially useful for sensitivity analysis, and it is illustrated in the next version of this bidding decision sequence of examples.</a:t>
          </a:r>
        </a:p>
        <a:p>
          <a:pPr rtl="0"/>
          <a:endParaRPr lang="en-US" sz="1100" b="0" i="0" baseline="0">
            <a:solidFill>
              <a:schemeClr val="dk1"/>
            </a:solidFill>
            <a:effectLst/>
            <a:latin typeface="+mn-lt"/>
            <a:ea typeface="+mn-ea"/>
            <a:cs typeface="+mn-cs"/>
          </a:endParaRPr>
        </a:p>
        <a:p>
          <a:pPr rtl="0"/>
          <a:r>
            <a:rPr lang="en-US">
              <a:effectLst/>
            </a:rPr>
            <a:t>Once the tree has been built</a:t>
          </a:r>
          <a:r>
            <a:rPr lang="en-US" baseline="0">
              <a:effectLst/>
            </a:rPr>
            <a:t> and labeled with probabilities and monetary values, the best decision strategy is easy to see by following the TRUE branches from decision nodes. In this model, the company should place a bid, and the bid amount should be $170K. The expected monetary value from this strategy is $2900, the value in cell C35. The last three sheets show optional PrecisionTree outputs from the Decision Analysis dropdown.</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238887</xdr:colOff>
      <xdr:row>47</xdr:row>
      <xdr:rowOff>177800</xdr:rowOff>
    </xdr:from>
    <xdr:to>
      <xdr:col>4</xdr:col>
      <xdr:colOff>127</xdr:colOff>
      <xdr:row>47</xdr:row>
      <xdr:rowOff>177800</xdr:rowOff>
    </xdr:to>
    <xdr:cxnSp macro="_xll.PtreeEvent_ObjectClick">
      <xdr:nvCxnSpPr>
        <xdr:cNvPr id="102" name="PTObj_DBranchHLine_2_18">
          <a:extLst>
            <a:ext uri="{FF2B5EF4-FFF2-40B4-BE49-F238E27FC236}">
              <a16:creationId xmlns:a16="http://schemas.microsoft.com/office/drawing/2014/main" id="{00000000-0008-0000-0200-000066000000}"/>
            </a:ext>
          </a:extLst>
        </xdr:cNvPr>
        <xdr:cNvCxnSpPr/>
      </xdr:nvCxnSpPr>
      <xdr:spPr>
        <a:xfrm>
          <a:off x="4978527" y="879602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45</xdr:row>
      <xdr:rowOff>172720</xdr:rowOff>
    </xdr:from>
    <xdr:to>
      <xdr:col>3</xdr:col>
      <xdr:colOff>238887</xdr:colOff>
      <xdr:row>47</xdr:row>
      <xdr:rowOff>177800</xdr:rowOff>
    </xdr:to>
    <xdr:cxnSp macro="_xll.PtreeEvent_ObjectClick">
      <xdr:nvCxnSpPr>
        <xdr:cNvPr id="101" name="PTObj_DBranchDLine_2_18">
          <a:extLst>
            <a:ext uri="{FF2B5EF4-FFF2-40B4-BE49-F238E27FC236}">
              <a16:creationId xmlns:a16="http://schemas.microsoft.com/office/drawing/2014/main" id="{00000000-0008-0000-0200-000065000000}"/>
            </a:ext>
          </a:extLst>
        </xdr:cNvPr>
        <xdr:cNvCxnSpPr/>
      </xdr:nvCxnSpPr>
      <xdr:spPr>
        <a:xfrm>
          <a:off x="4826127" y="842518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43</xdr:row>
      <xdr:rowOff>177800</xdr:rowOff>
    </xdr:from>
    <xdr:to>
      <xdr:col>5</xdr:col>
      <xdr:colOff>127</xdr:colOff>
      <xdr:row>43</xdr:row>
      <xdr:rowOff>177800</xdr:rowOff>
    </xdr:to>
    <xdr:cxnSp macro="_xll.PtreeEvent_ObjectClick">
      <xdr:nvCxnSpPr>
        <xdr:cNvPr id="98" name="PTObj_DBranchHLine_2_17">
          <a:extLst>
            <a:ext uri="{FF2B5EF4-FFF2-40B4-BE49-F238E27FC236}">
              <a16:creationId xmlns:a16="http://schemas.microsoft.com/office/drawing/2014/main" id="{00000000-0008-0000-0200-000062000000}"/>
            </a:ext>
          </a:extLst>
        </xdr:cNvPr>
        <xdr:cNvCxnSpPr/>
      </xdr:nvCxnSpPr>
      <xdr:spPr>
        <a:xfrm>
          <a:off x="6502527" y="806450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41</xdr:row>
      <xdr:rowOff>172720</xdr:rowOff>
    </xdr:from>
    <xdr:to>
      <xdr:col>4</xdr:col>
      <xdr:colOff>238887</xdr:colOff>
      <xdr:row>43</xdr:row>
      <xdr:rowOff>177800</xdr:rowOff>
    </xdr:to>
    <xdr:cxnSp macro="_xll.PtreeEvent_ObjectClick">
      <xdr:nvCxnSpPr>
        <xdr:cNvPr id="97" name="PTObj_DBranchDLine_2_17">
          <a:extLst>
            <a:ext uri="{FF2B5EF4-FFF2-40B4-BE49-F238E27FC236}">
              <a16:creationId xmlns:a16="http://schemas.microsoft.com/office/drawing/2014/main" id="{00000000-0008-0000-0200-000061000000}"/>
            </a:ext>
          </a:extLst>
        </xdr:cNvPr>
        <xdr:cNvCxnSpPr/>
      </xdr:nvCxnSpPr>
      <xdr:spPr>
        <a:xfrm>
          <a:off x="6350127" y="769366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39</xdr:row>
      <xdr:rowOff>177800</xdr:rowOff>
    </xdr:from>
    <xdr:to>
      <xdr:col>5</xdr:col>
      <xdr:colOff>127</xdr:colOff>
      <xdr:row>39</xdr:row>
      <xdr:rowOff>177800</xdr:rowOff>
    </xdr:to>
    <xdr:cxnSp macro="_xll.PtreeEvent_ObjectClick">
      <xdr:nvCxnSpPr>
        <xdr:cNvPr id="94" name="PTObj_DBranchHLine_2_16">
          <a:extLst>
            <a:ext uri="{FF2B5EF4-FFF2-40B4-BE49-F238E27FC236}">
              <a16:creationId xmlns:a16="http://schemas.microsoft.com/office/drawing/2014/main" id="{00000000-0008-0000-0200-00005E000000}"/>
            </a:ext>
          </a:extLst>
        </xdr:cNvPr>
        <xdr:cNvCxnSpPr/>
      </xdr:nvCxnSpPr>
      <xdr:spPr>
        <a:xfrm>
          <a:off x="6502527" y="733298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39</xdr:row>
      <xdr:rowOff>177800</xdr:rowOff>
    </xdr:from>
    <xdr:to>
      <xdr:col>4</xdr:col>
      <xdr:colOff>238887</xdr:colOff>
      <xdr:row>41</xdr:row>
      <xdr:rowOff>172720</xdr:rowOff>
    </xdr:to>
    <xdr:cxnSp macro="_xll.PtreeEvent_ObjectClick">
      <xdr:nvCxnSpPr>
        <xdr:cNvPr id="93" name="PTObj_DBranchDLine_2_16">
          <a:extLst>
            <a:ext uri="{FF2B5EF4-FFF2-40B4-BE49-F238E27FC236}">
              <a16:creationId xmlns:a16="http://schemas.microsoft.com/office/drawing/2014/main" id="{00000000-0008-0000-0200-00005D000000}"/>
            </a:ext>
          </a:extLst>
        </xdr:cNvPr>
        <xdr:cNvCxnSpPr/>
      </xdr:nvCxnSpPr>
      <xdr:spPr>
        <a:xfrm flipV="1">
          <a:off x="6350127" y="733298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238887</xdr:colOff>
      <xdr:row>41</xdr:row>
      <xdr:rowOff>177800</xdr:rowOff>
    </xdr:from>
    <xdr:to>
      <xdr:col>4</xdr:col>
      <xdr:colOff>127</xdr:colOff>
      <xdr:row>41</xdr:row>
      <xdr:rowOff>177800</xdr:rowOff>
    </xdr:to>
    <xdr:cxnSp macro="_xll.PtreeEvent_ObjectClick">
      <xdr:nvCxnSpPr>
        <xdr:cNvPr id="90" name="PTObj_DBranchHLine_2_15">
          <a:extLst>
            <a:ext uri="{FF2B5EF4-FFF2-40B4-BE49-F238E27FC236}">
              <a16:creationId xmlns:a16="http://schemas.microsoft.com/office/drawing/2014/main" id="{00000000-0008-0000-0200-00005A000000}"/>
            </a:ext>
          </a:extLst>
        </xdr:cNvPr>
        <xdr:cNvCxnSpPr/>
      </xdr:nvCxnSpPr>
      <xdr:spPr>
        <a:xfrm>
          <a:off x="4978527" y="769874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41</xdr:row>
      <xdr:rowOff>177800</xdr:rowOff>
    </xdr:from>
    <xdr:to>
      <xdr:col>3</xdr:col>
      <xdr:colOff>238887</xdr:colOff>
      <xdr:row>45</xdr:row>
      <xdr:rowOff>172720</xdr:rowOff>
    </xdr:to>
    <xdr:cxnSp macro="_xll.PtreeEvent_ObjectClick">
      <xdr:nvCxnSpPr>
        <xdr:cNvPr id="89" name="PTObj_DBranchDLine_2_15">
          <a:extLst>
            <a:ext uri="{FF2B5EF4-FFF2-40B4-BE49-F238E27FC236}">
              <a16:creationId xmlns:a16="http://schemas.microsoft.com/office/drawing/2014/main" id="{00000000-0008-0000-0200-000059000000}"/>
            </a:ext>
          </a:extLst>
        </xdr:cNvPr>
        <xdr:cNvCxnSpPr/>
      </xdr:nvCxnSpPr>
      <xdr:spPr>
        <a:xfrm flipV="1">
          <a:off x="4826127" y="7698740"/>
          <a:ext cx="152400" cy="7264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238887</xdr:colOff>
      <xdr:row>45</xdr:row>
      <xdr:rowOff>177800</xdr:rowOff>
    </xdr:from>
    <xdr:to>
      <xdr:col>3</xdr:col>
      <xdr:colOff>127</xdr:colOff>
      <xdr:row>45</xdr:row>
      <xdr:rowOff>177800</xdr:rowOff>
    </xdr:to>
    <xdr:cxnSp macro="_xll.PtreeEvent_ObjectClick">
      <xdr:nvCxnSpPr>
        <xdr:cNvPr id="86" name="PTObj_DBranchHLine_2_6">
          <a:extLst>
            <a:ext uri="{FF2B5EF4-FFF2-40B4-BE49-F238E27FC236}">
              <a16:creationId xmlns:a16="http://schemas.microsoft.com/office/drawing/2014/main" id="{00000000-0008-0000-0200-000056000000}"/>
            </a:ext>
          </a:extLst>
        </xdr:cNvPr>
        <xdr:cNvCxnSpPr/>
      </xdr:nvCxnSpPr>
      <xdr:spPr>
        <a:xfrm>
          <a:off x="3446907" y="8430260"/>
          <a:ext cx="12928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86487</xdr:colOff>
      <xdr:row>27</xdr:row>
      <xdr:rowOff>172720</xdr:rowOff>
    </xdr:from>
    <xdr:to>
      <xdr:col>2</xdr:col>
      <xdr:colOff>238887</xdr:colOff>
      <xdr:row>45</xdr:row>
      <xdr:rowOff>177800</xdr:rowOff>
    </xdr:to>
    <xdr:cxnSp macro="_xll.PtreeEvent_ObjectClick">
      <xdr:nvCxnSpPr>
        <xdr:cNvPr id="85" name="PTObj_DBranchDLine_2_6">
          <a:extLst>
            <a:ext uri="{FF2B5EF4-FFF2-40B4-BE49-F238E27FC236}">
              <a16:creationId xmlns:a16="http://schemas.microsoft.com/office/drawing/2014/main" id="{00000000-0008-0000-0200-000055000000}"/>
            </a:ext>
          </a:extLst>
        </xdr:cNvPr>
        <xdr:cNvCxnSpPr/>
      </xdr:nvCxnSpPr>
      <xdr:spPr>
        <a:xfrm>
          <a:off x="3294507" y="5133340"/>
          <a:ext cx="152400" cy="3296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238887</xdr:colOff>
      <xdr:row>37</xdr:row>
      <xdr:rowOff>177800</xdr:rowOff>
    </xdr:from>
    <xdr:to>
      <xdr:col>4</xdr:col>
      <xdr:colOff>127</xdr:colOff>
      <xdr:row>37</xdr:row>
      <xdr:rowOff>177800</xdr:rowOff>
    </xdr:to>
    <xdr:cxnSp macro="_xll.PtreeEvent_ObjectClick">
      <xdr:nvCxnSpPr>
        <xdr:cNvPr id="78" name="PTObj_DBranchHLine_2_14">
          <a:extLst>
            <a:ext uri="{FF2B5EF4-FFF2-40B4-BE49-F238E27FC236}">
              <a16:creationId xmlns:a16="http://schemas.microsoft.com/office/drawing/2014/main" id="{00000000-0008-0000-0200-00004E000000}"/>
            </a:ext>
          </a:extLst>
        </xdr:cNvPr>
        <xdr:cNvCxnSpPr/>
      </xdr:nvCxnSpPr>
      <xdr:spPr>
        <a:xfrm>
          <a:off x="4978527" y="696722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35</xdr:row>
      <xdr:rowOff>172720</xdr:rowOff>
    </xdr:from>
    <xdr:to>
      <xdr:col>3</xdr:col>
      <xdr:colOff>238887</xdr:colOff>
      <xdr:row>37</xdr:row>
      <xdr:rowOff>177800</xdr:rowOff>
    </xdr:to>
    <xdr:cxnSp macro="_xll.PtreeEvent_ObjectClick">
      <xdr:nvCxnSpPr>
        <xdr:cNvPr id="77" name="PTObj_DBranchDLine_2_14">
          <a:extLst>
            <a:ext uri="{FF2B5EF4-FFF2-40B4-BE49-F238E27FC236}">
              <a16:creationId xmlns:a16="http://schemas.microsoft.com/office/drawing/2014/main" id="{00000000-0008-0000-0200-00004D000000}"/>
            </a:ext>
          </a:extLst>
        </xdr:cNvPr>
        <xdr:cNvCxnSpPr/>
      </xdr:nvCxnSpPr>
      <xdr:spPr>
        <a:xfrm>
          <a:off x="4826127" y="659638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33</xdr:row>
      <xdr:rowOff>177800</xdr:rowOff>
    </xdr:from>
    <xdr:to>
      <xdr:col>5</xdr:col>
      <xdr:colOff>127</xdr:colOff>
      <xdr:row>33</xdr:row>
      <xdr:rowOff>177800</xdr:rowOff>
    </xdr:to>
    <xdr:cxnSp macro="_xll.PtreeEvent_ObjectClick">
      <xdr:nvCxnSpPr>
        <xdr:cNvPr id="74" name="PTObj_DBranchHLine_2_13">
          <a:extLst>
            <a:ext uri="{FF2B5EF4-FFF2-40B4-BE49-F238E27FC236}">
              <a16:creationId xmlns:a16="http://schemas.microsoft.com/office/drawing/2014/main" id="{00000000-0008-0000-0200-00004A000000}"/>
            </a:ext>
          </a:extLst>
        </xdr:cNvPr>
        <xdr:cNvCxnSpPr/>
      </xdr:nvCxnSpPr>
      <xdr:spPr>
        <a:xfrm>
          <a:off x="6502527" y="623570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31</xdr:row>
      <xdr:rowOff>172720</xdr:rowOff>
    </xdr:from>
    <xdr:to>
      <xdr:col>4</xdr:col>
      <xdr:colOff>238887</xdr:colOff>
      <xdr:row>33</xdr:row>
      <xdr:rowOff>177800</xdr:rowOff>
    </xdr:to>
    <xdr:cxnSp macro="_xll.PtreeEvent_ObjectClick">
      <xdr:nvCxnSpPr>
        <xdr:cNvPr id="73" name="PTObj_DBranchDLine_2_13">
          <a:extLst>
            <a:ext uri="{FF2B5EF4-FFF2-40B4-BE49-F238E27FC236}">
              <a16:creationId xmlns:a16="http://schemas.microsoft.com/office/drawing/2014/main" id="{00000000-0008-0000-0200-000049000000}"/>
            </a:ext>
          </a:extLst>
        </xdr:cNvPr>
        <xdr:cNvCxnSpPr/>
      </xdr:nvCxnSpPr>
      <xdr:spPr>
        <a:xfrm>
          <a:off x="6350127" y="586486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29</xdr:row>
      <xdr:rowOff>177800</xdr:rowOff>
    </xdr:from>
    <xdr:to>
      <xdr:col>5</xdr:col>
      <xdr:colOff>127</xdr:colOff>
      <xdr:row>29</xdr:row>
      <xdr:rowOff>177800</xdr:rowOff>
    </xdr:to>
    <xdr:cxnSp macro="_xll.PtreeEvent_ObjectClick">
      <xdr:nvCxnSpPr>
        <xdr:cNvPr id="70" name="PTObj_DBranchHLine_2_12">
          <a:extLst>
            <a:ext uri="{FF2B5EF4-FFF2-40B4-BE49-F238E27FC236}">
              <a16:creationId xmlns:a16="http://schemas.microsoft.com/office/drawing/2014/main" id="{00000000-0008-0000-0200-000046000000}"/>
            </a:ext>
          </a:extLst>
        </xdr:cNvPr>
        <xdr:cNvCxnSpPr/>
      </xdr:nvCxnSpPr>
      <xdr:spPr>
        <a:xfrm>
          <a:off x="6502527" y="550418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29</xdr:row>
      <xdr:rowOff>177800</xdr:rowOff>
    </xdr:from>
    <xdr:to>
      <xdr:col>4</xdr:col>
      <xdr:colOff>238887</xdr:colOff>
      <xdr:row>31</xdr:row>
      <xdr:rowOff>172720</xdr:rowOff>
    </xdr:to>
    <xdr:cxnSp macro="_xll.PtreeEvent_ObjectClick">
      <xdr:nvCxnSpPr>
        <xdr:cNvPr id="69" name="PTObj_DBranchDLine_2_12">
          <a:extLst>
            <a:ext uri="{FF2B5EF4-FFF2-40B4-BE49-F238E27FC236}">
              <a16:creationId xmlns:a16="http://schemas.microsoft.com/office/drawing/2014/main" id="{00000000-0008-0000-0200-000045000000}"/>
            </a:ext>
          </a:extLst>
        </xdr:cNvPr>
        <xdr:cNvCxnSpPr/>
      </xdr:nvCxnSpPr>
      <xdr:spPr>
        <a:xfrm flipV="1">
          <a:off x="6350127" y="550418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238887</xdr:colOff>
      <xdr:row>31</xdr:row>
      <xdr:rowOff>177800</xdr:rowOff>
    </xdr:from>
    <xdr:to>
      <xdr:col>4</xdr:col>
      <xdr:colOff>127</xdr:colOff>
      <xdr:row>31</xdr:row>
      <xdr:rowOff>177800</xdr:rowOff>
    </xdr:to>
    <xdr:cxnSp macro="_xll.PtreeEvent_ObjectClick">
      <xdr:nvCxnSpPr>
        <xdr:cNvPr id="66" name="PTObj_DBranchHLine_2_11">
          <a:extLst>
            <a:ext uri="{FF2B5EF4-FFF2-40B4-BE49-F238E27FC236}">
              <a16:creationId xmlns:a16="http://schemas.microsoft.com/office/drawing/2014/main" id="{00000000-0008-0000-0200-000042000000}"/>
            </a:ext>
          </a:extLst>
        </xdr:cNvPr>
        <xdr:cNvCxnSpPr/>
      </xdr:nvCxnSpPr>
      <xdr:spPr>
        <a:xfrm>
          <a:off x="4978527" y="586994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31</xdr:row>
      <xdr:rowOff>177800</xdr:rowOff>
    </xdr:from>
    <xdr:to>
      <xdr:col>3</xdr:col>
      <xdr:colOff>238887</xdr:colOff>
      <xdr:row>35</xdr:row>
      <xdr:rowOff>172720</xdr:rowOff>
    </xdr:to>
    <xdr:cxnSp macro="_xll.PtreeEvent_ObjectClick">
      <xdr:nvCxnSpPr>
        <xdr:cNvPr id="65" name="PTObj_DBranchDLine_2_11">
          <a:extLst>
            <a:ext uri="{FF2B5EF4-FFF2-40B4-BE49-F238E27FC236}">
              <a16:creationId xmlns:a16="http://schemas.microsoft.com/office/drawing/2014/main" id="{00000000-0008-0000-0200-000041000000}"/>
            </a:ext>
          </a:extLst>
        </xdr:cNvPr>
        <xdr:cNvCxnSpPr/>
      </xdr:nvCxnSpPr>
      <xdr:spPr>
        <a:xfrm flipV="1">
          <a:off x="4826127" y="5869940"/>
          <a:ext cx="152400" cy="7264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238887</xdr:colOff>
      <xdr:row>35</xdr:row>
      <xdr:rowOff>177800</xdr:rowOff>
    </xdr:from>
    <xdr:to>
      <xdr:col>3</xdr:col>
      <xdr:colOff>127</xdr:colOff>
      <xdr:row>35</xdr:row>
      <xdr:rowOff>177800</xdr:rowOff>
    </xdr:to>
    <xdr:cxnSp macro="_xll.PtreeEvent_ObjectClick">
      <xdr:nvCxnSpPr>
        <xdr:cNvPr id="62" name="PTObj_DBranchHLine_2_5">
          <a:extLst>
            <a:ext uri="{FF2B5EF4-FFF2-40B4-BE49-F238E27FC236}">
              <a16:creationId xmlns:a16="http://schemas.microsoft.com/office/drawing/2014/main" id="{00000000-0008-0000-0200-00003E000000}"/>
            </a:ext>
          </a:extLst>
        </xdr:cNvPr>
        <xdr:cNvCxnSpPr/>
      </xdr:nvCxnSpPr>
      <xdr:spPr>
        <a:xfrm>
          <a:off x="3446907" y="6601460"/>
          <a:ext cx="12928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86487</xdr:colOff>
      <xdr:row>27</xdr:row>
      <xdr:rowOff>172720</xdr:rowOff>
    </xdr:from>
    <xdr:to>
      <xdr:col>2</xdr:col>
      <xdr:colOff>238887</xdr:colOff>
      <xdr:row>35</xdr:row>
      <xdr:rowOff>177800</xdr:rowOff>
    </xdr:to>
    <xdr:cxnSp macro="_xll.PtreeEvent_ObjectClick">
      <xdr:nvCxnSpPr>
        <xdr:cNvPr id="61" name="PTObj_DBranchDLine_2_5">
          <a:extLst>
            <a:ext uri="{FF2B5EF4-FFF2-40B4-BE49-F238E27FC236}">
              <a16:creationId xmlns:a16="http://schemas.microsoft.com/office/drawing/2014/main" id="{00000000-0008-0000-0200-00003D000000}"/>
            </a:ext>
          </a:extLst>
        </xdr:cNvPr>
        <xdr:cNvCxnSpPr/>
      </xdr:nvCxnSpPr>
      <xdr:spPr>
        <a:xfrm>
          <a:off x="3294507" y="5133340"/>
          <a:ext cx="152400" cy="14681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21</xdr:row>
      <xdr:rowOff>177800</xdr:rowOff>
    </xdr:from>
    <xdr:to>
      <xdr:col>5</xdr:col>
      <xdr:colOff>127</xdr:colOff>
      <xdr:row>21</xdr:row>
      <xdr:rowOff>177800</xdr:rowOff>
    </xdr:to>
    <xdr:cxnSp macro="_xll.PtreeEvent_ObjectClick">
      <xdr:nvCxnSpPr>
        <xdr:cNvPr id="54" name="PTObj_DBranchHLine_2_10">
          <a:extLst>
            <a:ext uri="{FF2B5EF4-FFF2-40B4-BE49-F238E27FC236}">
              <a16:creationId xmlns:a16="http://schemas.microsoft.com/office/drawing/2014/main" id="{00000000-0008-0000-0200-000036000000}"/>
            </a:ext>
          </a:extLst>
        </xdr:cNvPr>
        <xdr:cNvCxnSpPr/>
      </xdr:nvCxnSpPr>
      <xdr:spPr>
        <a:xfrm>
          <a:off x="6502527" y="4041140"/>
          <a:ext cx="11404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19</xdr:row>
      <xdr:rowOff>172720</xdr:rowOff>
    </xdr:from>
    <xdr:to>
      <xdr:col>4</xdr:col>
      <xdr:colOff>238887</xdr:colOff>
      <xdr:row>21</xdr:row>
      <xdr:rowOff>177800</xdr:rowOff>
    </xdr:to>
    <xdr:cxnSp macro="_xll.PtreeEvent_ObjectClick">
      <xdr:nvCxnSpPr>
        <xdr:cNvPr id="53" name="PTObj_DBranchDLine_2_10">
          <a:extLst>
            <a:ext uri="{FF2B5EF4-FFF2-40B4-BE49-F238E27FC236}">
              <a16:creationId xmlns:a16="http://schemas.microsoft.com/office/drawing/2014/main" id="{00000000-0008-0000-0200-000035000000}"/>
            </a:ext>
          </a:extLst>
        </xdr:cNvPr>
        <xdr:cNvCxnSpPr/>
      </xdr:nvCxnSpPr>
      <xdr:spPr>
        <a:xfrm>
          <a:off x="6350127" y="367030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238887</xdr:colOff>
      <xdr:row>17</xdr:row>
      <xdr:rowOff>177800</xdr:rowOff>
    </xdr:from>
    <xdr:to>
      <xdr:col>5</xdr:col>
      <xdr:colOff>127</xdr:colOff>
      <xdr:row>17</xdr:row>
      <xdr:rowOff>177800</xdr:rowOff>
    </xdr:to>
    <xdr:cxnSp macro="_xll.PtreeEvent_ObjectClick">
      <xdr:nvCxnSpPr>
        <xdr:cNvPr id="50" name="PTObj_DBranchHLine_2_9">
          <a:extLst>
            <a:ext uri="{FF2B5EF4-FFF2-40B4-BE49-F238E27FC236}">
              <a16:creationId xmlns:a16="http://schemas.microsoft.com/office/drawing/2014/main" id="{00000000-0008-0000-0200-000032000000}"/>
            </a:ext>
          </a:extLst>
        </xdr:cNvPr>
        <xdr:cNvCxnSpPr/>
      </xdr:nvCxnSpPr>
      <xdr:spPr>
        <a:xfrm>
          <a:off x="6502527" y="3309620"/>
          <a:ext cx="9118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86487</xdr:colOff>
      <xdr:row>17</xdr:row>
      <xdr:rowOff>177800</xdr:rowOff>
    </xdr:from>
    <xdr:to>
      <xdr:col>4</xdr:col>
      <xdr:colOff>238887</xdr:colOff>
      <xdr:row>19</xdr:row>
      <xdr:rowOff>172720</xdr:rowOff>
    </xdr:to>
    <xdr:cxnSp macro="_xll.PtreeEvent_ObjectClick">
      <xdr:nvCxnSpPr>
        <xdr:cNvPr id="49" name="PTObj_DBranchDLine_2_9">
          <a:extLst>
            <a:ext uri="{FF2B5EF4-FFF2-40B4-BE49-F238E27FC236}">
              <a16:creationId xmlns:a16="http://schemas.microsoft.com/office/drawing/2014/main" id="{00000000-0008-0000-0200-000031000000}"/>
            </a:ext>
          </a:extLst>
        </xdr:cNvPr>
        <xdr:cNvCxnSpPr/>
      </xdr:nvCxnSpPr>
      <xdr:spPr>
        <a:xfrm flipV="1">
          <a:off x="6350127" y="330962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238887</xdr:colOff>
      <xdr:row>19</xdr:row>
      <xdr:rowOff>177800</xdr:rowOff>
    </xdr:from>
    <xdr:to>
      <xdr:col>4</xdr:col>
      <xdr:colOff>127</xdr:colOff>
      <xdr:row>19</xdr:row>
      <xdr:rowOff>177800</xdr:rowOff>
    </xdr:to>
    <xdr:cxnSp macro="_xll.PtreeEvent_ObjectClick">
      <xdr:nvCxnSpPr>
        <xdr:cNvPr id="46" name="PTObj_DBranchHLine_2_7">
          <a:extLst>
            <a:ext uri="{FF2B5EF4-FFF2-40B4-BE49-F238E27FC236}">
              <a16:creationId xmlns:a16="http://schemas.microsoft.com/office/drawing/2014/main" id="{00000000-0008-0000-0200-00002E000000}"/>
            </a:ext>
          </a:extLst>
        </xdr:cNvPr>
        <xdr:cNvCxnSpPr/>
      </xdr:nvCxnSpPr>
      <xdr:spPr>
        <a:xfrm>
          <a:off x="4978527" y="330962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19</xdr:row>
      <xdr:rowOff>177800</xdr:rowOff>
    </xdr:from>
    <xdr:to>
      <xdr:col>3</xdr:col>
      <xdr:colOff>238887</xdr:colOff>
      <xdr:row>23</xdr:row>
      <xdr:rowOff>172720</xdr:rowOff>
    </xdr:to>
    <xdr:cxnSp macro="_xll.PtreeEvent_ObjectClick">
      <xdr:nvCxnSpPr>
        <xdr:cNvPr id="45" name="PTObj_DBranchDLine_2_7">
          <a:extLst>
            <a:ext uri="{FF2B5EF4-FFF2-40B4-BE49-F238E27FC236}">
              <a16:creationId xmlns:a16="http://schemas.microsoft.com/office/drawing/2014/main" id="{00000000-0008-0000-0200-00002D000000}"/>
            </a:ext>
          </a:extLst>
        </xdr:cNvPr>
        <xdr:cNvCxnSpPr/>
      </xdr:nvCxnSpPr>
      <xdr:spPr>
        <a:xfrm flipV="1">
          <a:off x="4826127" y="330962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238887</xdr:colOff>
      <xdr:row>25</xdr:row>
      <xdr:rowOff>177800</xdr:rowOff>
    </xdr:from>
    <xdr:to>
      <xdr:col>4</xdr:col>
      <xdr:colOff>127</xdr:colOff>
      <xdr:row>25</xdr:row>
      <xdr:rowOff>177800</xdr:rowOff>
    </xdr:to>
    <xdr:cxnSp macro="_xll.PtreeEvent_ObjectClick">
      <xdr:nvCxnSpPr>
        <xdr:cNvPr id="42" name="PTObj_DBranchHLine_2_8">
          <a:extLst>
            <a:ext uri="{FF2B5EF4-FFF2-40B4-BE49-F238E27FC236}">
              <a16:creationId xmlns:a16="http://schemas.microsoft.com/office/drawing/2014/main" id="{00000000-0008-0000-0200-00002A000000}"/>
            </a:ext>
          </a:extLst>
        </xdr:cNvPr>
        <xdr:cNvCxnSpPr/>
      </xdr:nvCxnSpPr>
      <xdr:spPr>
        <a:xfrm>
          <a:off x="4978527" y="4041140"/>
          <a:ext cx="11404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86487</xdr:colOff>
      <xdr:row>23</xdr:row>
      <xdr:rowOff>172720</xdr:rowOff>
    </xdr:from>
    <xdr:to>
      <xdr:col>3</xdr:col>
      <xdr:colOff>238887</xdr:colOff>
      <xdr:row>25</xdr:row>
      <xdr:rowOff>177800</xdr:rowOff>
    </xdr:to>
    <xdr:cxnSp macro="_xll.PtreeEvent_ObjectClick">
      <xdr:nvCxnSpPr>
        <xdr:cNvPr id="41" name="PTObj_DBranchDLine_2_8">
          <a:extLst>
            <a:ext uri="{FF2B5EF4-FFF2-40B4-BE49-F238E27FC236}">
              <a16:creationId xmlns:a16="http://schemas.microsoft.com/office/drawing/2014/main" id="{00000000-0008-0000-0200-000029000000}"/>
            </a:ext>
          </a:extLst>
        </xdr:cNvPr>
        <xdr:cNvCxnSpPr/>
      </xdr:nvCxnSpPr>
      <xdr:spPr>
        <a:xfrm>
          <a:off x="4826127" y="367030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238887</xdr:colOff>
      <xdr:row>23</xdr:row>
      <xdr:rowOff>177800</xdr:rowOff>
    </xdr:from>
    <xdr:to>
      <xdr:col>3</xdr:col>
      <xdr:colOff>127</xdr:colOff>
      <xdr:row>23</xdr:row>
      <xdr:rowOff>177800</xdr:rowOff>
    </xdr:to>
    <xdr:cxnSp macro="_xll.PtreeEvent_ObjectClick">
      <xdr:nvCxnSpPr>
        <xdr:cNvPr id="34" name="PTObj_DBranchHLine_2_4">
          <a:extLst>
            <a:ext uri="{FF2B5EF4-FFF2-40B4-BE49-F238E27FC236}">
              <a16:creationId xmlns:a16="http://schemas.microsoft.com/office/drawing/2014/main" id="{00000000-0008-0000-0200-000022000000}"/>
            </a:ext>
          </a:extLst>
        </xdr:cNvPr>
        <xdr:cNvCxnSpPr/>
      </xdr:nvCxnSpPr>
      <xdr:spPr>
        <a:xfrm>
          <a:off x="3446907" y="3309620"/>
          <a:ext cx="12928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86487</xdr:colOff>
      <xdr:row>23</xdr:row>
      <xdr:rowOff>177800</xdr:rowOff>
    </xdr:from>
    <xdr:to>
      <xdr:col>2</xdr:col>
      <xdr:colOff>238887</xdr:colOff>
      <xdr:row>27</xdr:row>
      <xdr:rowOff>172720</xdr:rowOff>
    </xdr:to>
    <xdr:cxnSp macro="_xll.PtreeEvent_ObjectClick">
      <xdr:nvCxnSpPr>
        <xdr:cNvPr id="33" name="PTObj_DBranchDLine_2_4">
          <a:extLst>
            <a:ext uri="{FF2B5EF4-FFF2-40B4-BE49-F238E27FC236}">
              <a16:creationId xmlns:a16="http://schemas.microsoft.com/office/drawing/2014/main" id="{00000000-0008-0000-0200-000021000000}"/>
            </a:ext>
          </a:extLst>
        </xdr:cNvPr>
        <xdr:cNvCxnSpPr/>
      </xdr:nvCxnSpPr>
      <xdr:spPr>
        <a:xfrm flipV="1">
          <a:off x="3294507" y="330962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238887</xdr:colOff>
      <xdr:row>27</xdr:row>
      <xdr:rowOff>177800</xdr:rowOff>
    </xdr:from>
    <xdr:to>
      <xdr:col>2</xdr:col>
      <xdr:colOff>127</xdr:colOff>
      <xdr:row>27</xdr:row>
      <xdr:rowOff>177800</xdr:rowOff>
    </xdr:to>
    <xdr:cxnSp macro="_xll.PtreeEvent_ObjectClick">
      <xdr:nvCxnSpPr>
        <xdr:cNvPr id="18" name="PTObj_DBranchHLine_2_2">
          <a:extLst>
            <a:ext uri="{FF2B5EF4-FFF2-40B4-BE49-F238E27FC236}">
              <a16:creationId xmlns:a16="http://schemas.microsoft.com/office/drawing/2014/main" id="{00000000-0008-0000-0200-000012000000}"/>
            </a:ext>
          </a:extLst>
        </xdr:cNvPr>
        <xdr:cNvCxnSpPr/>
      </xdr:nvCxnSpPr>
      <xdr:spPr>
        <a:xfrm>
          <a:off x="1922907" y="3309620"/>
          <a:ext cx="128524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86487</xdr:colOff>
      <xdr:row>27</xdr:row>
      <xdr:rowOff>177800</xdr:rowOff>
    </xdr:from>
    <xdr:to>
      <xdr:col>1</xdr:col>
      <xdr:colOff>238887</xdr:colOff>
      <xdr:row>49</xdr:row>
      <xdr:rowOff>172720</xdr:rowOff>
    </xdr:to>
    <xdr:cxnSp macro="_xll.PtreeEvent_ObjectClick">
      <xdr:nvCxnSpPr>
        <xdr:cNvPr id="17" name="PTObj_DBranchDLine_2_2">
          <a:extLst>
            <a:ext uri="{FF2B5EF4-FFF2-40B4-BE49-F238E27FC236}">
              <a16:creationId xmlns:a16="http://schemas.microsoft.com/office/drawing/2014/main" id="{00000000-0008-0000-0200-000011000000}"/>
            </a:ext>
          </a:extLst>
        </xdr:cNvPr>
        <xdr:cNvCxnSpPr/>
      </xdr:nvCxnSpPr>
      <xdr:spPr>
        <a:xfrm flipV="1">
          <a:off x="1770507" y="3309620"/>
          <a:ext cx="152400" cy="3606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238887</xdr:colOff>
      <xdr:row>51</xdr:row>
      <xdr:rowOff>177800</xdr:rowOff>
    </xdr:from>
    <xdr:to>
      <xdr:col>2</xdr:col>
      <xdr:colOff>127</xdr:colOff>
      <xdr:row>51</xdr:row>
      <xdr:rowOff>177800</xdr:rowOff>
    </xdr:to>
    <xdr:cxnSp macro="_xll.PtreeEvent_ObjectClick">
      <xdr:nvCxnSpPr>
        <xdr:cNvPr id="14" name="PTObj_DBranchHLine_2_3">
          <a:extLst>
            <a:ext uri="{FF2B5EF4-FFF2-40B4-BE49-F238E27FC236}">
              <a16:creationId xmlns:a16="http://schemas.microsoft.com/office/drawing/2014/main" id="{00000000-0008-0000-0200-00000E000000}"/>
            </a:ext>
          </a:extLst>
        </xdr:cNvPr>
        <xdr:cNvCxnSpPr/>
      </xdr:nvCxnSpPr>
      <xdr:spPr>
        <a:xfrm>
          <a:off x="1922907" y="4041140"/>
          <a:ext cx="114046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86487</xdr:colOff>
      <xdr:row>49</xdr:row>
      <xdr:rowOff>172720</xdr:rowOff>
    </xdr:from>
    <xdr:to>
      <xdr:col>1</xdr:col>
      <xdr:colOff>238887</xdr:colOff>
      <xdr:row>51</xdr:row>
      <xdr:rowOff>177800</xdr:rowOff>
    </xdr:to>
    <xdr:cxnSp macro="_xll.PtreeEvent_ObjectClick">
      <xdr:nvCxnSpPr>
        <xdr:cNvPr id="13" name="PTObj_DBranchDLine_2_3">
          <a:extLst>
            <a:ext uri="{FF2B5EF4-FFF2-40B4-BE49-F238E27FC236}">
              <a16:creationId xmlns:a16="http://schemas.microsoft.com/office/drawing/2014/main" id="{00000000-0008-0000-0200-00000D000000}"/>
            </a:ext>
          </a:extLst>
        </xdr:cNvPr>
        <xdr:cNvCxnSpPr/>
      </xdr:nvCxnSpPr>
      <xdr:spPr>
        <a:xfrm>
          <a:off x="1770507" y="3670300"/>
          <a:ext cx="152400" cy="37084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177800</xdr:colOff>
      <xdr:row>49</xdr:row>
      <xdr:rowOff>177800</xdr:rowOff>
    </xdr:from>
    <xdr:to>
      <xdr:col>1</xdr:col>
      <xdr:colOff>127</xdr:colOff>
      <xdr:row>49</xdr:row>
      <xdr:rowOff>177800</xdr:rowOff>
    </xdr:to>
    <xdr:cxnSp macro="_xll.PtreeEvent_ObjectClick">
      <xdr:nvCxnSpPr>
        <xdr:cNvPr id="6" name="PTObj_DBranchHLine_2_1">
          <a:extLst>
            <a:ext uri="{FF2B5EF4-FFF2-40B4-BE49-F238E27FC236}">
              <a16:creationId xmlns:a16="http://schemas.microsoft.com/office/drawing/2014/main" id="{00000000-0008-0000-0200-000006000000}"/>
            </a:ext>
          </a:extLst>
        </xdr:cNvPr>
        <xdr:cNvCxnSpPr/>
      </xdr:nvCxnSpPr>
      <xdr:spPr>
        <a:xfrm>
          <a:off x="177800" y="3309620"/>
          <a:ext cx="148348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127</xdr:colOff>
      <xdr:row>49</xdr:row>
      <xdr:rowOff>86360</xdr:rowOff>
    </xdr:from>
    <xdr:to>
      <xdr:col>1</xdr:col>
      <xdr:colOff>183007</xdr:colOff>
      <xdr:row>50</xdr:row>
      <xdr:rowOff>86360</xdr:rowOff>
    </xdr:to>
    <xdr:sp macro="_xll.PtreeEvent_ObjectClick" textlink="">
      <xdr:nvSpPr>
        <xdr:cNvPr id="5" name="PTObj_DNode_2_1">
          <a:extLst>
            <a:ext uri="{FF2B5EF4-FFF2-40B4-BE49-F238E27FC236}">
              <a16:creationId xmlns:a16="http://schemas.microsoft.com/office/drawing/2014/main" id="{00000000-0008-0000-0200-000005000000}"/>
            </a:ext>
          </a:extLst>
        </xdr:cNvPr>
        <xdr:cNvSpPr/>
      </xdr:nvSpPr>
      <xdr:spPr>
        <a:xfrm>
          <a:off x="1661287" y="3218180"/>
          <a:ext cx="182880" cy="18288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0</xdr:col>
      <xdr:colOff>215900</xdr:colOff>
      <xdr:row>49</xdr:row>
      <xdr:rowOff>87487</xdr:rowOff>
    </xdr:from>
    <xdr:ext cx="1037848" cy="180627"/>
    <xdr:sp macro="_xll.PtreeEvent_ObjectClick" textlink="">
      <xdr:nvSpPr>
        <xdr:cNvPr id="7" name="PTObj_DBranchName_2_1">
          <a:extLst>
            <a:ext uri="{FF2B5EF4-FFF2-40B4-BE49-F238E27FC236}">
              <a16:creationId xmlns:a16="http://schemas.microsoft.com/office/drawing/2014/main" id="{00000000-0008-0000-0200-000007000000}"/>
            </a:ext>
          </a:extLst>
        </xdr:cNvPr>
        <xdr:cNvSpPr txBox="1"/>
      </xdr:nvSpPr>
      <xdr:spPr>
        <a:xfrm>
          <a:off x="215900" y="3219307"/>
          <a:ext cx="103784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Bidding Decision Model</a:t>
          </a:r>
        </a:p>
      </xdr:txBody>
    </xdr:sp>
    <xdr:clientData/>
  </xdr:oneCellAnchor>
  <xdr:twoCellAnchor editAs="oneCell">
    <xdr:from>
      <xdr:col>2</xdr:col>
      <xdr:colOff>127</xdr:colOff>
      <xdr:row>51</xdr:row>
      <xdr:rowOff>86360</xdr:rowOff>
    </xdr:from>
    <xdr:to>
      <xdr:col>2</xdr:col>
      <xdr:colOff>183007</xdr:colOff>
      <xdr:row>52</xdr:row>
      <xdr:rowOff>86360</xdr:rowOff>
    </xdr:to>
    <xdr:sp macro="_xll.PtreeEvent_ObjectClick" textlink="">
      <xdr:nvSpPr>
        <xdr:cNvPr id="12" name="PTObj_DNode_2_3">
          <a:extLst>
            <a:ext uri="{FF2B5EF4-FFF2-40B4-BE49-F238E27FC236}">
              <a16:creationId xmlns:a16="http://schemas.microsoft.com/office/drawing/2014/main" id="{00000000-0008-0000-0200-00000C000000}"/>
            </a:ext>
          </a:extLst>
        </xdr:cNvPr>
        <xdr:cNvSpPr/>
      </xdr:nvSpPr>
      <xdr:spPr>
        <a:xfrm rot="-5400000">
          <a:off x="3063367" y="3949700"/>
          <a:ext cx="182880"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xdr:col>
      <xdr:colOff>276987</xdr:colOff>
      <xdr:row>51</xdr:row>
      <xdr:rowOff>87487</xdr:rowOff>
    </xdr:from>
    <xdr:ext cx="175753" cy="180627"/>
    <xdr:sp macro="_xll.PtreeEvent_ObjectClick" textlink="">
      <xdr:nvSpPr>
        <xdr:cNvPr id="15" name="PTObj_DBranchName_2_3">
          <a:extLst>
            <a:ext uri="{FF2B5EF4-FFF2-40B4-BE49-F238E27FC236}">
              <a16:creationId xmlns:a16="http://schemas.microsoft.com/office/drawing/2014/main" id="{00000000-0008-0000-0200-00000F000000}"/>
            </a:ext>
          </a:extLst>
        </xdr:cNvPr>
        <xdr:cNvSpPr txBox="1"/>
      </xdr:nvSpPr>
      <xdr:spPr>
        <a:xfrm>
          <a:off x="1961007" y="395082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2</xdr:col>
      <xdr:colOff>127</xdr:colOff>
      <xdr:row>27</xdr:row>
      <xdr:rowOff>86360</xdr:rowOff>
    </xdr:from>
    <xdr:to>
      <xdr:col>2</xdr:col>
      <xdr:colOff>183007</xdr:colOff>
      <xdr:row>28</xdr:row>
      <xdr:rowOff>86360</xdr:rowOff>
    </xdr:to>
    <xdr:sp macro="_xll.PtreeEvent_ObjectClick" textlink="">
      <xdr:nvSpPr>
        <xdr:cNvPr id="16" name="PTObj_DNode_2_2">
          <a:extLst>
            <a:ext uri="{FF2B5EF4-FFF2-40B4-BE49-F238E27FC236}">
              <a16:creationId xmlns:a16="http://schemas.microsoft.com/office/drawing/2014/main" id="{00000000-0008-0000-0200-000010000000}"/>
            </a:ext>
          </a:extLst>
        </xdr:cNvPr>
        <xdr:cNvSpPr/>
      </xdr:nvSpPr>
      <xdr:spPr>
        <a:xfrm>
          <a:off x="3208147" y="3218180"/>
          <a:ext cx="182880" cy="18288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xdr:col>
      <xdr:colOff>276987</xdr:colOff>
      <xdr:row>27</xdr:row>
      <xdr:rowOff>87487</xdr:rowOff>
    </xdr:from>
    <xdr:ext cx="196592" cy="180627"/>
    <xdr:sp macro="_xll.PtreeEvent_ObjectClick" textlink="">
      <xdr:nvSpPr>
        <xdr:cNvPr id="19" name="PTObj_DBranchName_2_2">
          <a:extLst>
            <a:ext uri="{FF2B5EF4-FFF2-40B4-BE49-F238E27FC236}">
              <a16:creationId xmlns:a16="http://schemas.microsoft.com/office/drawing/2014/main" id="{00000000-0008-0000-0200-000013000000}"/>
            </a:ext>
          </a:extLst>
        </xdr:cNvPr>
        <xdr:cNvSpPr txBox="1"/>
      </xdr:nvSpPr>
      <xdr:spPr>
        <a:xfrm>
          <a:off x="1961007" y="32193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3</xdr:col>
      <xdr:colOff>127</xdr:colOff>
      <xdr:row>23</xdr:row>
      <xdr:rowOff>86360</xdr:rowOff>
    </xdr:from>
    <xdr:to>
      <xdr:col>3</xdr:col>
      <xdr:colOff>183007</xdr:colOff>
      <xdr:row>24</xdr:row>
      <xdr:rowOff>86360</xdr:rowOff>
    </xdr:to>
    <xdr:sp macro="_xll.PtreeEvent_ObjectClick" textlink="">
      <xdr:nvSpPr>
        <xdr:cNvPr id="32" name="PTObj_DNode_2_4">
          <a:extLst>
            <a:ext uri="{FF2B5EF4-FFF2-40B4-BE49-F238E27FC236}">
              <a16:creationId xmlns:a16="http://schemas.microsoft.com/office/drawing/2014/main" id="{00000000-0008-0000-0200-000020000000}"/>
            </a:ext>
          </a:extLst>
        </xdr:cNvPr>
        <xdr:cNvSpPr/>
      </xdr:nvSpPr>
      <xdr:spPr>
        <a:xfrm>
          <a:off x="4739767" y="321818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276987</xdr:colOff>
      <xdr:row>23</xdr:row>
      <xdr:rowOff>87487</xdr:rowOff>
    </xdr:from>
    <xdr:ext cx="264688" cy="180627"/>
    <xdr:sp macro="_xll.PtreeEvent_ObjectClick" textlink="">
      <xdr:nvSpPr>
        <xdr:cNvPr id="35" name="PTObj_DBranchName_2_4">
          <a:extLst>
            <a:ext uri="{FF2B5EF4-FFF2-40B4-BE49-F238E27FC236}">
              <a16:creationId xmlns:a16="http://schemas.microsoft.com/office/drawing/2014/main" id="{00000000-0008-0000-0200-000023000000}"/>
            </a:ext>
          </a:extLst>
        </xdr:cNvPr>
        <xdr:cNvSpPr txBox="1"/>
      </xdr:nvSpPr>
      <xdr:spPr>
        <a:xfrm>
          <a:off x="3485007" y="3219307"/>
          <a:ext cx="26468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160K</a:t>
          </a:r>
        </a:p>
      </xdr:txBody>
    </xdr:sp>
    <xdr:clientData/>
  </xdr:oneCellAnchor>
  <xdr:twoCellAnchor editAs="oneCell">
    <xdr:from>
      <xdr:col>4</xdr:col>
      <xdr:colOff>127</xdr:colOff>
      <xdr:row>25</xdr:row>
      <xdr:rowOff>86360</xdr:rowOff>
    </xdr:from>
    <xdr:to>
      <xdr:col>4</xdr:col>
      <xdr:colOff>183007</xdr:colOff>
      <xdr:row>26</xdr:row>
      <xdr:rowOff>86360</xdr:rowOff>
    </xdr:to>
    <xdr:sp macro="_xll.PtreeEvent_ObjectClick" textlink="">
      <xdr:nvSpPr>
        <xdr:cNvPr id="40" name="PTObj_DNode_2_8">
          <a:extLst>
            <a:ext uri="{FF2B5EF4-FFF2-40B4-BE49-F238E27FC236}">
              <a16:creationId xmlns:a16="http://schemas.microsoft.com/office/drawing/2014/main" id="{00000000-0008-0000-0200-000028000000}"/>
            </a:ext>
          </a:extLst>
        </xdr:cNvPr>
        <xdr:cNvSpPr/>
      </xdr:nvSpPr>
      <xdr:spPr>
        <a:xfrm rot="-5400000">
          <a:off x="6118987" y="3949700"/>
          <a:ext cx="182880"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25</xdr:row>
      <xdr:rowOff>87487</xdr:rowOff>
    </xdr:from>
    <xdr:ext cx="175753" cy="180627"/>
    <xdr:sp macro="_xll.PtreeEvent_ObjectClick" textlink="">
      <xdr:nvSpPr>
        <xdr:cNvPr id="43" name="PTObj_DBranchName_2_8">
          <a:extLst>
            <a:ext uri="{FF2B5EF4-FFF2-40B4-BE49-F238E27FC236}">
              <a16:creationId xmlns:a16="http://schemas.microsoft.com/office/drawing/2014/main" id="{00000000-0008-0000-0200-00002B000000}"/>
            </a:ext>
          </a:extLst>
        </xdr:cNvPr>
        <xdr:cNvSpPr txBox="1"/>
      </xdr:nvSpPr>
      <xdr:spPr>
        <a:xfrm>
          <a:off x="5016627" y="395082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4</xdr:col>
      <xdr:colOff>127</xdr:colOff>
      <xdr:row>19</xdr:row>
      <xdr:rowOff>86360</xdr:rowOff>
    </xdr:from>
    <xdr:to>
      <xdr:col>4</xdr:col>
      <xdr:colOff>183007</xdr:colOff>
      <xdr:row>20</xdr:row>
      <xdr:rowOff>86360</xdr:rowOff>
    </xdr:to>
    <xdr:sp macro="_xll.PtreeEvent_ObjectClick" textlink="">
      <xdr:nvSpPr>
        <xdr:cNvPr id="44" name="PTObj_DNode_2_7">
          <a:extLst>
            <a:ext uri="{FF2B5EF4-FFF2-40B4-BE49-F238E27FC236}">
              <a16:creationId xmlns:a16="http://schemas.microsoft.com/office/drawing/2014/main" id="{00000000-0008-0000-0200-00002C000000}"/>
            </a:ext>
          </a:extLst>
        </xdr:cNvPr>
        <xdr:cNvSpPr/>
      </xdr:nvSpPr>
      <xdr:spPr>
        <a:xfrm>
          <a:off x="6263767" y="321818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19</xdr:row>
      <xdr:rowOff>87487</xdr:rowOff>
    </xdr:from>
    <xdr:ext cx="196592" cy="180627"/>
    <xdr:sp macro="_xll.PtreeEvent_ObjectClick" textlink="">
      <xdr:nvSpPr>
        <xdr:cNvPr id="47" name="PTObj_DBranchName_2_7">
          <a:extLst>
            <a:ext uri="{FF2B5EF4-FFF2-40B4-BE49-F238E27FC236}">
              <a16:creationId xmlns:a16="http://schemas.microsoft.com/office/drawing/2014/main" id="{00000000-0008-0000-0200-00002F000000}"/>
            </a:ext>
          </a:extLst>
        </xdr:cNvPr>
        <xdr:cNvSpPr txBox="1"/>
      </xdr:nvSpPr>
      <xdr:spPr>
        <a:xfrm>
          <a:off x="5016627" y="32193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127</xdr:colOff>
      <xdr:row>17</xdr:row>
      <xdr:rowOff>86360</xdr:rowOff>
    </xdr:from>
    <xdr:to>
      <xdr:col>5</xdr:col>
      <xdr:colOff>183007</xdr:colOff>
      <xdr:row>18</xdr:row>
      <xdr:rowOff>86360</xdr:rowOff>
    </xdr:to>
    <xdr:sp macro="_xll.PtreeEvent_ObjectClick" textlink="">
      <xdr:nvSpPr>
        <xdr:cNvPr id="48" name="PTObj_DNode_2_9">
          <a:extLst>
            <a:ext uri="{FF2B5EF4-FFF2-40B4-BE49-F238E27FC236}">
              <a16:creationId xmlns:a16="http://schemas.microsoft.com/office/drawing/2014/main" id="{00000000-0008-0000-0200-000030000000}"/>
            </a:ext>
          </a:extLst>
        </xdr:cNvPr>
        <xdr:cNvSpPr/>
      </xdr:nvSpPr>
      <xdr:spPr>
        <a:xfrm rot="-5400000">
          <a:off x="7414387" y="3218180"/>
          <a:ext cx="182880"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17</xdr:row>
      <xdr:rowOff>87487</xdr:rowOff>
    </xdr:from>
    <xdr:ext cx="196592" cy="180627"/>
    <xdr:sp macro="_xll.PtreeEvent_ObjectClick" textlink="">
      <xdr:nvSpPr>
        <xdr:cNvPr id="51" name="PTObj_DBranchName_2_9">
          <a:extLst>
            <a:ext uri="{FF2B5EF4-FFF2-40B4-BE49-F238E27FC236}">
              <a16:creationId xmlns:a16="http://schemas.microsoft.com/office/drawing/2014/main" id="{00000000-0008-0000-0200-000033000000}"/>
            </a:ext>
          </a:extLst>
        </xdr:cNvPr>
        <xdr:cNvSpPr txBox="1"/>
      </xdr:nvSpPr>
      <xdr:spPr>
        <a:xfrm>
          <a:off x="6540627" y="32193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127</xdr:colOff>
      <xdr:row>21</xdr:row>
      <xdr:rowOff>86360</xdr:rowOff>
    </xdr:from>
    <xdr:to>
      <xdr:col>5</xdr:col>
      <xdr:colOff>183007</xdr:colOff>
      <xdr:row>22</xdr:row>
      <xdr:rowOff>86360</xdr:rowOff>
    </xdr:to>
    <xdr:sp macro="_xll.PtreeEvent_ObjectClick" textlink="">
      <xdr:nvSpPr>
        <xdr:cNvPr id="52" name="PTObj_DNode_2_10">
          <a:extLst>
            <a:ext uri="{FF2B5EF4-FFF2-40B4-BE49-F238E27FC236}">
              <a16:creationId xmlns:a16="http://schemas.microsoft.com/office/drawing/2014/main" id="{00000000-0008-0000-0200-000034000000}"/>
            </a:ext>
          </a:extLst>
        </xdr:cNvPr>
        <xdr:cNvSpPr/>
      </xdr:nvSpPr>
      <xdr:spPr>
        <a:xfrm rot="-5400000">
          <a:off x="7642987" y="3949700"/>
          <a:ext cx="182880"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21</xdr:row>
      <xdr:rowOff>87487</xdr:rowOff>
    </xdr:from>
    <xdr:ext cx="175753" cy="180627"/>
    <xdr:sp macro="_xll.PtreeEvent_ObjectClick" textlink="">
      <xdr:nvSpPr>
        <xdr:cNvPr id="55" name="PTObj_DBranchName_2_10">
          <a:extLst>
            <a:ext uri="{FF2B5EF4-FFF2-40B4-BE49-F238E27FC236}">
              <a16:creationId xmlns:a16="http://schemas.microsoft.com/office/drawing/2014/main" id="{00000000-0008-0000-0200-000037000000}"/>
            </a:ext>
          </a:extLst>
        </xdr:cNvPr>
        <xdr:cNvSpPr txBox="1"/>
      </xdr:nvSpPr>
      <xdr:spPr>
        <a:xfrm>
          <a:off x="6540627" y="395082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3</xdr:col>
      <xdr:colOff>127</xdr:colOff>
      <xdr:row>35</xdr:row>
      <xdr:rowOff>86360</xdr:rowOff>
    </xdr:from>
    <xdr:to>
      <xdr:col>3</xdr:col>
      <xdr:colOff>183007</xdr:colOff>
      <xdr:row>36</xdr:row>
      <xdr:rowOff>86360</xdr:rowOff>
    </xdr:to>
    <xdr:sp macro="_xll.PtreeEvent_ObjectClick" textlink="">
      <xdr:nvSpPr>
        <xdr:cNvPr id="60" name="PTObj_DNode_2_5">
          <a:extLst>
            <a:ext uri="{FF2B5EF4-FFF2-40B4-BE49-F238E27FC236}">
              <a16:creationId xmlns:a16="http://schemas.microsoft.com/office/drawing/2014/main" id="{00000000-0008-0000-0200-00003C000000}"/>
            </a:ext>
          </a:extLst>
        </xdr:cNvPr>
        <xdr:cNvSpPr/>
      </xdr:nvSpPr>
      <xdr:spPr>
        <a:xfrm>
          <a:off x="4739767" y="651002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276987</xdr:colOff>
      <xdr:row>35</xdr:row>
      <xdr:rowOff>87487</xdr:rowOff>
    </xdr:from>
    <xdr:ext cx="264688" cy="180627"/>
    <xdr:sp macro="_xll.PtreeEvent_ObjectClick" textlink="">
      <xdr:nvSpPr>
        <xdr:cNvPr id="63" name="PTObj_DBranchName_2_5">
          <a:extLst>
            <a:ext uri="{FF2B5EF4-FFF2-40B4-BE49-F238E27FC236}">
              <a16:creationId xmlns:a16="http://schemas.microsoft.com/office/drawing/2014/main" id="{00000000-0008-0000-0200-00003F000000}"/>
            </a:ext>
          </a:extLst>
        </xdr:cNvPr>
        <xdr:cNvSpPr txBox="1"/>
      </xdr:nvSpPr>
      <xdr:spPr>
        <a:xfrm>
          <a:off x="3485007" y="6511147"/>
          <a:ext cx="26468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170K</a:t>
          </a:r>
        </a:p>
      </xdr:txBody>
    </xdr:sp>
    <xdr:clientData/>
  </xdr:oneCellAnchor>
  <xdr:twoCellAnchor editAs="oneCell">
    <xdr:from>
      <xdr:col>4</xdr:col>
      <xdr:colOff>127</xdr:colOff>
      <xdr:row>31</xdr:row>
      <xdr:rowOff>86360</xdr:rowOff>
    </xdr:from>
    <xdr:to>
      <xdr:col>4</xdr:col>
      <xdr:colOff>183007</xdr:colOff>
      <xdr:row>32</xdr:row>
      <xdr:rowOff>86360</xdr:rowOff>
    </xdr:to>
    <xdr:sp macro="_xll.PtreeEvent_ObjectClick" textlink="">
      <xdr:nvSpPr>
        <xdr:cNvPr id="64" name="PTObj_DNode_2_11">
          <a:extLst>
            <a:ext uri="{FF2B5EF4-FFF2-40B4-BE49-F238E27FC236}">
              <a16:creationId xmlns:a16="http://schemas.microsoft.com/office/drawing/2014/main" id="{00000000-0008-0000-0200-000040000000}"/>
            </a:ext>
          </a:extLst>
        </xdr:cNvPr>
        <xdr:cNvSpPr/>
      </xdr:nvSpPr>
      <xdr:spPr>
        <a:xfrm>
          <a:off x="6263767" y="577850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31</xdr:row>
      <xdr:rowOff>87487</xdr:rowOff>
    </xdr:from>
    <xdr:ext cx="196592" cy="180627"/>
    <xdr:sp macro="_xll.PtreeEvent_ObjectClick" textlink="">
      <xdr:nvSpPr>
        <xdr:cNvPr id="67" name="PTObj_DBranchName_2_11">
          <a:extLst>
            <a:ext uri="{FF2B5EF4-FFF2-40B4-BE49-F238E27FC236}">
              <a16:creationId xmlns:a16="http://schemas.microsoft.com/office/drawing/2014/main" id="{00000000-0008-0000-0200-000043000000}"/>
            </a:ext>
          </a:extLst>
        </xdr:cNvPr>
        <xdr:cNvSpPr txBox="1"/>
      </xdr:nvSpPr>
      <xdr:spPr>
        <a:xfrm>
          <a:off x="5016627" y="577962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128</xdr:colOff>
      <xdr:row>29</xdr:row>
      <xdr:rowOff>86359</xdr:rowOff>
    </xdr:from>
    <xdr:to>
      <xdr:col>5</xdr:col>
      <xdr:colOff>183008</xdr:colOff>
      <xdr:row>30</xdr:row>
      <xdr:rowOff>86360</xdr:rowOff>
    </xdr:to>
    <xdr:sp macro="_xll.PtreeEvent_ObjectClick" textlink="">
      <xdr:nvSpPr>
        <xdr:cNvPr id="68" name="PTObj_DNode_2_12">
          <a:extLst>
            <a:ext uri="{FF2B5EF4-FFF2-40B4-BE49-F238E27FC236}">
              <a16:creationId xmlns:a16="http://schemas.microsoft.com/office/drawing/2014/main" id="{00000000-0008-0000-0200-000044000000}"/>
            </a:ext>
          </a:extLst>
        </xdr:cNvPr>
        <xdr:cNvSpPr/>
      </xdr:nvSpPr>
      <xdr:spPr>
        <a:xfrm rot="-5400000">
          <a:off x="7787767" y="5412740"/>
          <a:ext cx="182881"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29</xdr:row>
      <xdr:rowOff>87486</xdr:rowOff>
    </xdr:from>
    <xdr:ext cx="196592" cy="180627"/>
    <xdr:sp macro="_xll.PtreeEvent_ObjectClick" textlink="">
      <xdr:nvSpPr>
        <xdr:cNvPr id="71" name="PTObj_DBranchName_2_12">
          <a:extLst>
            <a:ext uri="{FF2B5EF4-FFF2-40B4-BE49-F238E27FC236}">
              <a16:creationId xmlns:a16="http://schemas.microsoft.com/office/drawing/2014/main" id="{00000000-0008-0000-0200-000047000000}"/>
            </a:ext>
          </a:extLst>
        </xdr:cNvPr>
        <xdr:cNvSpPr txBox="1"/>
      </xdr:nvSpPr>
      <xdr:spPr>
        <a:xfrm>
          <a:off x="6540627" y="5413866"/>
          <a:ext cx="196592"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128</xdr:colOff>
      <xdr:row>33</xdr:row>
      <xdr:rowOff>86359</xdr:rowOff>
    </xdr:from>
    <xdr:to>
      <xdr:col>5</xdr:col>
      <xdr:colOff>183008</xdr:colOff>
      <xdr:row>34</xdr:row>
      <xdr:rowOff>86360</xdr:rowOff>
    </xdr:to>
    <xdr:sp macro="_xll.PtreeEvent_ObjectClick" textlink="">
      <xdr:nvSpPr>
        <xdr:cNvPr id="72" name="PTObj_DNode_2_13">
          <a:extLst>
            <a:ext uri="{FF2B5EF4-FFF2-40B4-BE49-F238E27FC236}">
              <a16:creationId xmlns:a16="http://schemas.microsoft.com/office/drawing/2014/main" id="{00000000-0008-0000-0200-000048000000}"/>
            </a:ext>
          </a:extLst>
        </xdr:cNvPr>
        <xdr:cNvSpPr/>
      </xdr:nvSpPr>
      <xdr:spPr>
        <a:xfrm rot="-5400000">
          <a:off x="7787767" y="6144260"/>
          <a:ext cx="182881"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33</xdr:row>
      <xdr:rowOff>87487</xdr:rowOff>
    </xdr:from>
    <xdr:ext cx="175753" cy="180627"/>
    <xdr:sp macro="_xll.PtreeEvent_ObjectClick" textlink="">
      <xdr:nvSpPr>
        <xdr:cNvPr id="75" name="PTObj_DBranchName_2_13">
          <a:extLst>
            <a:ext uri="{FF2B5EF4-FFF2-40B4-BE49-F238E27FC236}">
              <a16:creationId xmlns:a16="http://schemas.microsoft.com/office/drawing/2014/main" id="{00000000-0008-0000-0200-00004B000000}"/>
            </a:ext>
          </a:extLst>
        </xdr:cNvPr>
        <xdr:cNvSpPr txBox="1"/>
      </xdr:nvSpPr>
      <xdr:spPr>
        <a:xfrm>
          <a:off x="6540627" y="6145387"/>
          <a:ext cx="17575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4</xdr:col>
      <xdr:colOff>126</xdr:colOff>
      <xdr:row>37</xdr:row>
      <xdr:rowOff>86361</xdr:rowOff>
    </xdr:from>
    <xdr:to>
      <xdr:col>4</xdr:col>
      <xdr:colOff>183007</xdr:colOff>
      <xdr:row>38</xdr:row>
      <xdr:rowOff>86361</xdr:rowOff>
    </xdr:to>
    <xdr:sp macro="_xll.PtreeEvent_ObjectClick" textlink="">
      <xdr:nvSpPr>
        <xdr:cNvPr id="76" name="PTObj_DNode_2_14">
          <a:extLst>
            <a:ext uri="{FF2B5EF4-FFF2-40B4-BE49-F238E27FC236}">
              <a16:creationId xmlns:a16="http://schemas.microsoft.com/office/drawing/2014/main" id="{00000000-0008-0000-0200-00004C000000}"/>
            </a:ext>
          </a:extLst>
        </xdr:cNvPr>
        <xdr:cNvSpPr/>
      </xdr:nvSpPr>
      <xdr:spPr>
        <a:xfrm rot="-5400000">
          <a:off x="6263767" y="6875780"/>
          <a:ext cx="182880" cy="182881"/>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37</xdr:row>
      <xdr:rowOff>87487</xdr:rowOff>
    </xdr:from>
    <xdr:ext cx="175753" cy="180627"/>
    <xdr:sp macro="_xll.PtreeEvent_ObjectClick" textlink="">
      <xdr:nvSpPr>
        <xdr:cNvPr id="79" name="PTObj_DBranchName_2_14">
          <a:extLst>
            <a:ext uri="{FF2B5EF4-FFF2-40B4-BE49-F238E27FC236}">
              <a16:creationId xmlns:a16="http://schemas.microsoft.com/office/drawing/2014/main" id="{00000000-0008-0000-0200-00004F000000}"/>
            </a:ext>
          </a:extLst>
        </xdr:cNvPr>
        <xdr:cNvSpPr txBox="1"/>
      </xdr:nvSpPr>
      <xdr:spPr>
        <a:xfrm>
          <a:off x="5016627" y="6876907"/>
          <a:ext cx="17575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3</xdr:col>
      <xdr:colOff>127</xdr:colOff>
      <xdr:row>45</xdr:row>
      <xdr:rowOff>86360</xdr:rowOff>
    </xdr:from>
    <xdr:to>
      <xdr:col>3</xdr:col>
      <xdr:colOff>183007</xdr:colOff>
      <xdr:row>46</xdr:row>
      <xdr:rowOff>86360</xdr:rowOff>
    </xdr:to>
    <xdr:sp macro="_xll.PtreeEvent_ObjectClick" textlink="">
      <xdr:nvSpPr>
        <xdr:cNvPr id="84" name="PTObj_DNode_2_6">
          <a:extLst>
            <a:ext uri="{FF2B5EF4-FFF2-40B4-BE49-F238E27FC236}">
              <a16:creationId xmlns:a16="http://schemas.microsoft.com/office/drawing/2014/main" id="{00000000-0008-0000-0200-000054000000}"/>
            </a:ext>
          </a:extLst>
        </xdr:cNvPr>
        <xdr:cNvSpPr/>
      </xdr:nvSpPr>
      <xdr:spPr>
        <a:xfrm>
          <a:off x="4739767" y="833882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276987</xdr:colOff>
      <xdr:row>45</xdr:row>
      <xdr:rowOff>87487</xdr:rowOff>
    </xdr:from>
    <xdr:ext cx="264688" cy="180627"/>
    <xdr:sp macro="_xll.PtreeEvent_ObjectClick" textlink="">
      <xdr:nvSpPr>
        <xdr:cNvPr id="87" name="PTObj_DBranchName_2_6">
          <a:extLst>
            <a:ext uri="{FF2B5EF4-FFF2-40B4-BE49-F238E27FC236}">
              <a16:creationId xmlns:a16="http://schemas.microsoft.com/office/drawing/2014/main" id="{00000000-0008-0000-0200-000057000000}"/>
            </a:ext>
          </a:extLst>
        </xdr:cNvPr>
        <xdr:cNvSpPr txBox="1"/>
      </xdr:nvSpPr>
      <xdr:spPr>
        <a:xfrm>
          <a:off x="3485007" y="8339947"/>
          <a:ext cx="26468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180K</a:t>
          </a:r>
        </a:p>
      </xdr:txBody>
    </xdr:sp>
    <xdr:clientData/>
  </xdr:oneCellAnchor>
  <xdr:twoCellAnchor editAs="oneCell">
    <xdr:from>
      <xdr:col>4</xdr:col>
      <xdr:colOff>127</xdr:colOff>
      <xdr:row>41</xdr:row>
      <xdr:rowOff>86360</xdr:rowOff>
    </xdr:from>
    <xdr:to>
      <xdr:col>4</xdr:col>
      <xdr:colOff>183007</xdr:colOff>
      <xdr:row>42</xdr:row>
      <xdr:rowOff>86360</xdr:rowOff>
    </xdr:to>
    <xdr:sp macro="_xll.PtreeEvent_ObjectClick" textlink="">
      <xdr:nvSpPr>
        <xdr:cNvPr id="88" name="PTObj_DNode_2_15">
          <a:extLst>
            <a:ext uri="{FF2B5EF4-FFF2-40B4-BE49-F238E27FC236}">
              <a16:creationId xmlns:a16="http://schemas.microsoft.com/office/drawing/2014/main" id="{00000000-0008-0000-0200-000058000000}"/>
            </a:ext>
          </a:extLst>
        </xdr:cNvPr>
        <xdr:cNvSpPr/>
      </xdr:nvSpPr>
      <xdr:spPr>
        <a:xfrm>
          <a:off x="6263767" y="7607300"/>
          <a:ext cx="182880" cy="18288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41</xdr:row>
      <xdr:rowOff>87486</xdr:rowOff>
    </xdr:from>
    <xdr:ext cx="196592" cy="180627"/>
    <xdr:sp macro="_xll.PtreeEvent_ObjectClick" textlink="">
      <xdr:nvSpPr>
        <xdr:cNvPr id="91" name="PTObj_DBranchName_2_15">
          <a:extLst>
            <a:ext uri="{FF2B5EF4-FFF2-40B4-BE49-F238E27FC236}">
              <a16:creationId xmlns:a16="http://schemas.microsoft.com/office/drawing/2014/main" id="{00000000-0008-0000-0200-00005B000000}"/>
            </a:ext>
          </a:extLst>
        </xdr:cNvPr>
        <xdr:cNvSpPr txBox="1"/>
      </xdr:nvSpPr>
      <xdr:spPr>
        <a:xfrm>
          <a:off x="5016627" y="7608426"/>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128</xdr:colOff>
      <xdr:row>39</xdr:row>
      <xdr:rowOff>86359</xdr:rowOff>
    </xdr:from>
    <xdr:to>
      <xdr:col>5</xdr:col>
      <xdr:colOff>183008</xdr:colOff>
      <xdr:row>40</xdr:row>
      <xdr:rowOff>86360</xdr:rowOff>
    </xdr:to>
    <xdr:sp macro="_xll.PtreeEvent_ObjectClick" textlink="">
      <xdr:nvSpPr>
        <xdr:cNvPr id="92" name="PTObj_DNode_2_16">
          <a:extLst>
            <a:ext uri="{FF2B5EF4-FFF2-40B4-BE49-F238E27FC236}">
              <a16:creationId xmlns:a16="http://schemas.microsoft.com/office/drawing/2014/main" id="{00000000-0008-0000-0200-00005C000000}"/>
            </a:ext>
          </a:extLst>
        </xdr:cNvPr>
        <xdr:cNvSpPr/>
      </xdr:nvSpPr>
      <xdr:spPr>
        <a:xfrm rot="-5400000">
          <a:off x="7787767" y="7241540"/>
          <a:ext cx="182881"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39</xdr:row>
      <xdr:rowOff>87486</xdr:rowOff>
    </xdr:from>
    <xdr:ext cx="196592" cy="180627"/>
    <xdr:sp macro="_xll.PtreeEvent_ObjectClick" textlink="">
      <xdr:nvSpPr>
        <xdr:cNvPr id="95" name="PTObj_DBranchName_2_16">
          <a:extLst>
            <a:ext uri="{FF2B5EF4-FFF2-40B4-BE49-F238E27FC236}">
              <a16:creationId xmlns:a16="http://schemas.microsoft.com/office/drawing/2014/main" id="{00000000-0008-0000-0200-00005F000000}"/>
            </a:ext>
          </a:extLst>
        </xdr:cNvPr>
        <xdr:cNvSpPr txBox="1"/>
      </xdr:nvSpPr>
      <xdr:spPr>
        <a:xfrm>
          <a:off x="6540627" y="7242666"/>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128</xdr:colOff>
      <xdr:row>43</xdr:row>
      <xdr:rowOff>86359</xdr:rowOff>
    </xdr:from>
    <xdr:to>
      <xdr:col>5</xdr:col>
      <xdr:colOff>183008</xdr:colOff>
      <xdr:row>44</xdr:row>
      <xdr:rowOff>86360</xdr:rowOff>
    </xdr:to>
    <xdr:sp macro="_xll.PtreeEvent_ObjectClick" textlink="">
      <xdr:nvSpPr>
        <xdr:cNvPr id="96" name="PTObj_DNode_2_17">
          <a:extLst>
            <a:ext uri="{FF2B5EF4-FFF2-40B4-BE49-F238E27FC236}">
              <a16:creationId xmlns:a16="http://schemas.microsoft.com/office/drawing/2014/main" id="{00000000-0008-0000-0200-000060000000}"/>
            </a:ext>
          </a:extLst>
        </xdr:cNvPr>
        <xdr:cNvSpPr/>
      </xdr:nvSpPr>
      <xdr:spPr>
        <a:xfrm rot="-5400000">
          <a:off x="7787767" y="7973060"/>
          <a:ext cx="182881" cy="18288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276987</xdr:colOff>
      <xdr:row>43</xdr:row>
      <xdr:rowOff>87486</xdr:rowOff>
    </xdr:from>
    <xdr:ext cx="175753" cy="180627"/>
    <xdr:sp macro="_xll.PtreeEvent_ObjectClick" textlink="">
      <xdr:nvSpPr>
        <xdr:cNvPr id="99" name="PTObj_DBranchName_2_17">
          <a:extLst>
            <a:ext uri="{FF2B5EF4-FFF2-40B4-BE49-F238E27FC236}">
              <a16:creationId xmlns:a16="http://schemas.microsoft.com/office/drawing/2014/main" id="{00000000-0008-0000-0200-000063000000}"/>
            </a:ext>
          </a:extLst>
        </xdr:cNvPr>
        <xdr:cNvSpPr txBox="1"/>
      </xdr:nvSpPr>
      <xdr:spPr>
        <a:xfrm>
          <a:off x="6540627" y="7974186"/>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4</xdr:col>
      <xdr:colOff>126</xdr:colOff>
      <xdr:row>47</xdr:row>
      <xdr:rowOff>86361</xdr:rowOff>
    </xdr:from>
    <xdr:to>
      <xdr:col>4</xdr:col>
      <xdr:colOff>183007</xdr:colOff>
      <xdr:row>48</xdr:row>
      <xdr:rowOff>86361</xdr:rowOff>
    </xdr:to>
    <xdr:sp macro="_xll.PtreeEvent_ObjectClick" textlink="">
      <xdr:nvSpPr>
        <xdr:cNvPr id="100" name="PTObj_DNode_2_18">
          <a:extLst>
            <a:ext uri="{FF2B5EF4-FFF2-40B4-BE49-F238E27FC236}">
              <a16:creationId xmlns:a16="http://schemas.microsoft.com/office/drawing/2014/main" id="{00000000-0008-0000-0200-000064000000}"/>
            </a:ext>
          </a:extLst>
        </xdr:cNvPr>
        <xdr:cNvSpPr/>
      </xdr:nvSpPr>
      <xdr:spPr>
        <a:xfrm rot="-5400000">
          <a:off x="6263767" y="8704580"/>
          <a:ext cx="182880" cy="182881"/>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276987</xdr:colOff>
      <xdr:row>47</xdr:row>
      <xdr:rowOff>87487</xdr:rowOff>
    </xdr:from>
    <xdr:ext cx="175753" cy="180627"/>
    <xdr:sp macro="_xll.PtreeEvent_ObjectClick" textlink="">
      <xdr:nvSpPr>
        <xdr:cNvPr id="103" name="PTObj_DBranchName_2_18">
          <a:extLst>
            <a:ext uri="{FF2B5EF4-FFF2-40B4-BE49-F238E27FC236}">
              <a16:creationId xmlns:a16="http://schemas.microsoft.com/office/drawing/2014/main" id="{00000000-0008-0000-0200-000067000000}"/>
            </a:ext>
          </a:extLst>
        </xdr:cNvPr>
        <xdr:cNvSpPr txBox="1"/>
      </xdr:nvSpPr>
      <xdr:spPr>
        <a:xfrm>
          <a:off x="5016627" y="870570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K81"/>
  <sheetViews>
    <sheetView showGridLines="0" workbookViewId="0">
      <selection activeCell="D50" sqref="D50"/>
    </sheetView>
  </sheetViews>
  <sheetFormatPr defaultRowHeight="15" x14ac:dyDescent="0.25"/>
  <cols>
    <col min="1" max="1" width="1.7109375" customWidth="1"/>
    <col min="2" max="2" width="29.42578125" style="3" bestFit="1" customWidth="1"/>
    <col min="3" max="3" width="23" style="5" customWidth="1"/>
    <col min="4" max="4" width="23.140625" style="5" customWidth="1"/>
    <col min="5" max="5" width="23" style="5" customWidth="1"/>
    <col min="6" max="6" width="23.140625" style="5" customWidth="1"/>
    <col min="7" max="7" width="16.7109375" style="5" customWidth="1"/>
    <col min="8" max="11" width="9.140625" style="5"/>
  </cols>
  <sheetData>
    <row r="2" spans="3:7" customFormat="1" ht="15" customHeight="1" x14ac:dyDescent="0.25">
      <c r="F2" s="12">
        <v>0.8</v>
      </c>
      <c r="G2" s="7">
        <f>_xll.PTreeNodeProbability(treeCalc_1!$F$2,9)</f>
        <v>0</v>
      </c>
    </row>
    <row r="3" spans="3:7" customFormat="1" ht="15" customHeight="1" x14ac:dyDescent="0.25">
      <c r="F3" s="13">
        <v>10000</v>
      </c>
      <c r="G3" s="16">
        <f>_xll.PTreeNodeValue(treeCalc_1!$F$2,9)</f>
        <v>2500</v>
      </c>
    </row>
    <row r="4" spans="3:7" customFormat="1" ht="15" customHeight="1" x14ac:dyDescent="0.25">
      <c r="E4" s="12">
        <v>0.8</v>
      </c>
      <c r="F4" s="11" t="s">
        <v>65</v>
      </c>
    </row>
    <row r="5" spans="3:7" customFormat="1" ht="15" customHeight="1" x14ac:dyDescent="0.25">
      <c r="E5" s="13">
        <v>0</v>
      </c>
      <c r="F5" s="17">
        <f>_xll.PTreeNodeValue(treeCalc_1!$F$2,7)</f>
        <v>500</v>
      </c>
    </row>
    <row r="6" spans="3:7" customFormat="1" ht="15" customHeight="1" x14ac:dyDescent="0.25">
      <c r="F6" s="12">
        <v>0.2</v>
      </c>
      <c r="G6" s="7">
        <f>_xll.PTreeNodeProbability(treeCalc_1!$F$2,10)</f>
        <v>0</v>
      </c>
    </row>
    <row r="7" spans="3:7" customFormat="1" ht="15" customHeight="1" x14ac:dyDescent="0.25">
      <c r="F7" s="13">
        <v>0</v>
      </c>
      <c r="G7" s="16">
        <f>_xll.PTreeNodeValue(treeCalc_1!$F$2,10)</f>
        <v>-7500</v>
      </c>
    </row>
    <row r="8" spans="3:7" customFormat="1" ht="15" customHeight="1" x14ac:dyDescent="0.25">
      <c r="D8" s="10" t="b">
        <f>_xll.PTreeNodeDecision(treeCalc_1!$F$2,4)</f>
        <v>0</v>
      </c>
      <c r="E8" s="11" t="s">
        <v>54</v>
      </c>
    </row>
    <row r="9" spans="3:7" customFormat="1" ht="15" customHeight="1" x14ac:dyDescent="0.25">
      <c r="D9" s="13">
        <v>0</v>
      </c>
      <c r="E9" s="17">
        <f>_xll.PTreeNodeValue(treeCalc_1!$F$2,4)</f>
        <v>900</v>
      </c>
    </row>
    <row r="10" spans="3:7" customFormat="1" ht="15" customHeight="1" x14ac:dyDescent="0.25">
      <c r="E10" s="12">
        <v>0.2</v>
      </c>
      <c r="F10" s="7">
        <f>_xll.PTreeNodeProbability(treeCalc_1!$F$2,8)</f>
        <v>0</v>
      </c>
    </row>
    <row r="11" spans="3:7" customFormat="1" ht="15" customHeight="1" x14ac:dyDescent="0.25">
      <c r="E11" s="13">
        <v>10000</v>
      </c>
      <c r="F11" s="16">
        <f>_xll.PTreeNodeValue(treeCalc_1!$F$2,8)</f>
        <v>2500</v>
      </c>
    </row>
    <row r="12" spans="3:7" customFormat="1" ht="15" customHeight="1" x14ac:dyDescent="0.25">
      <c r="C12" s="10" t="b">
        <f>_xll.PTreeNodeDecision(treeCalc_1!$F$2,2)</f>
        <v>1</v>
      </c>
      <c r="D12" s="9" t="s">
        <v>49</v>
      </c>
    </row>
    <row r="13" spans="3:7" customFormat="1" ht="15" customHeight="1" x14ac:dyDescent="0.25">
      <c r="C13" s="13">
        <v>-7500</v>
      </c>
      <c r="D13" s="15">
        <f>_xll.PTreeNodeValue(treeCalc_1!$F$2,2)</f>
        <v>2900</v>
      </c>
    </row>
    <row r="14" spans="3:7" customFormat="1" ht="15" customHeight="1" x14ac:dyDescent="0.25">
      <c r="F14" s="12">
        <v>0.4</v>
      </c>
      <c r="G14" s="7">
        <f>_xll.PTreeNodeProbability(treeCalc_1!$F$2,11)</f>
        <v>0.32000000000000006</v>
      </c>
    </row>
    <row r="15" spans="3:7" customFormat="1" ht="15" customHeight="1" x14ac:dyDescent="0.25">
      <c r="F15" s="13">
        <v>20000</v>
      </c>
      <c r="G15" s="16">
        <f>_xll.PTreeNodeValue(treeCalc_1!$F$2,11)</f>
        <v>12500</v>
      </c>
    </row>
    <row r="16" spans="3:7" customFormat="1" ht="15" customHeight="1" x14ac:dyDescent="0.25">
      <c r="E16" s="12">
        <v>0.8</v>
      </c>
      <c r="F16" s="11" t="s">
        <v>65</v>
      </c>
    </row>
    <row r="17" spans="4:7" customFormat="1" ht="15" customHeight="1" x14ac:dyDescent="0.25">
      <c r="E17" s="13">
        <v>0</v>
      </c>
      <c r="F17" s="17">
        <f>_xll.PTreeNodeValue(treeCalc_1!$F$2,13)</f>
        <v>500</v>
      </c>
    </row>
    <row r="18" spans="4:7" customFormat="1" ht="15" customHeight="1" x14ac:dyDescent="0.25">
      <c r="F18" s="12">
        <v>0.6</v>
      </c>
      <c r="G18" s="7">
        <f>_xll.PTreeNodeProbability(treeCalc_1!$F$2,12)</f>
        <v>0.48</v>
      </c>
    </row>
    <row r="19" spans="4:7" customFormat="1" ht="15" customHeight="1" x14ac:dyDescent="0.25">
      <c r="F19" s="13">
        <v>0</v>
      </c>
      <c r="G19" s="16">
        <f>_xll.PTreeNodeValue(treeCalc_1!$F$2,12)</f>
        <v>-7500</v>
      </c>
    </row>
    <row r="20" spans="4:7" customFormat="1" ht="15" customHeight="1" x14ac:dyDescent="0.25">
      <c r="D20" s="10" t="b">
        <f>_xll.PTreeNodeDecision(treeCalc_1!$F$2,5)</f>
        <v>1</v>
      </c>
      <c r="E20" s="11" t="s">
        <v>54</v>
      </c>
    </row>
    <row r="21" spans="4:7" customFormat="1" ht="15" customHeight="1" x14ac:dyDescent="0.25">
      <c r="D21" s="13">
        <v>0</v>
      </c>
      <c r="E21" s="17">
        <f>_xll.PTreeNodeValue(treeCalc_1!$F$2,5)</f>
        <v>2900</v>
      </c>
    </row>
    <row r="22" spans="4:7" customFormat="1" ht="15" customHeight="1" x14ac:dyDescent="0.25">
      <c r="E22" s="12">
        <v>0.2</v>
      </c>
      <c r="F22" s="7">
        <f>_xll.PTreeNodeProbability(treeCalc_1!$F$2,18)</f>
        <v>0.2</v>
      </c>
    </row>
    <row r="23" spans="4:7" customFormat="1" ht="15" customHeight="1" x14ac:dyDescent="0.25">
      <c r="E23" s="13">
        <v>20000</v>
      </c>
      <c r="F23" s="16">
        <f>_xll.PTreeNodeValue(treeCalc_1!$F$2,18)</f>
        <v>12500</v>
      </c>
    </row>
    <row r="24" spans="4:7" customFormat="1" ht="15" customHeight="1" x14ac:dyDescent="0.25">
      <c r="F24" s="12">
        <v>0.1</v>
      </c>
      <c r="G24" s="7">
        <f>_xll.PTreeNodeProbability(treeCalc_1!$F$2,14)</f>
        <v>0</v>
      </c>
    </row>
    <row r="25" spans="4:7" customFormat="1" ht="15" customHeight="1" x14ac:dyDescent="0.25">
      <c r="F25" s="13">
        <v>30000</v>
      </c>
      <c r="G25" s="16">
        <f>_xll.PTreeNodeValue(treeCalc_1!$F$2,14)</f>
        <v>22500</v>
      </c>
    </row>
    <row r="26" spans="4:7" customFormat="1" ht="15" customHeight="1" x14ac:dyDescent="0.25">
      <c r="E26" s="12">
        <v>0.8</v>
      </c>
      <c r="F26" s="11" t="s">
        <v>65</v>
      </c>
    </row>
    <row r="27" spans="4:7" customFormat="1" ht="15" customHeight="1" x14ac:dyDescent="0.3">
      <c r="E27" s="13">
        <v>0</v>
      </c>
      <c r="F27" s="17">
        <f>_xll.PTreeNodeValue(treeCalc_1!$F$2,19)</f>
        <v>-4500</v>
      </c>
    </row>
    <row r="28" spans="4:7" customFormat="1" ht="15" customHeight="1" x14ac:dyDescent="0.3">
      <c r="F28" s="12">
        <v>0.9</v>
      </c>
      <c r="G28" s="7">
        <f>_xll.PTreeNodeProbability(treeCalc_1!$F$2,15)</f>
        <v>0</v>
      </c>
    </row>
    <row r="29" spans="4:7" customFormat="1" ht="15" customHeight="1" x14ac:dyDescent="0.3">
      <c r="F29" s="13">
        <v>0</v>
      </c>
      <c r="G29" s="16">
        <f>_xll.PTreeNodeValue(treeCalc_1!$F$2,15)</f>
        <v>-7500</v>
      </c>
    </row>
    <row r="30" spans="4:7" customFormat="1" ht="15" customHeight="1" x14ac:dyDescent="0.3">
      <c r="D30" s="10" t="b">
        <f>_xll.PTreeNodeDecision(treeCalc_1!$F$2,6)</f>
        <v>0</v>
      </c>
      <c r="E30" s="11" t="s">
        <v>54</v>
      </c>
    </row>
    <row r="31" spans="4:7" customFormat="1" ht="15" customHeight="1" x14ac:dyDescent="0.3">
      <c r="D31" s="13">
        <v>0</v>
      </c>
      <c r="E31" s="17">
        <f>_xll.PTreeNodeValue(treeCalc_1!$F$2,6)</f>
        <v>900</v>
      </c>
    </row>
    <row r="32" spans="4:7" customFormat="1" ht="15" customHeight="1" x14ac:dyDescent="0.3">
      <c r="E32" s="12">
        <v>0.2</v>
      </c>
      <c r="F32" s="7">
        <f>_xll.PTreeNodeProbability(treeCalc_1!$F$2,24)</f>
        <v>0</v>
      </c>
    </row>
    <row r="33" spans="2:11" ht="15" customHeight="1" x14ac:dyDescent="0.3">
      <c r="B33"/>
      <c r="C33"/>
      <c r="D33"/>
      <c r="E33" s="13">
        <v>30000</v>
      </c>
      <c r="F33" s="16">
        <f>_xll.PTreeNodeValue(treeCalc_1!$F$2,24)</f>
        <v>22500</v>
      </c>
      <c r="G33"/>
      <c r="H33"/>
      <c r="I33"/>
      <c r="J33"/>
      <c r="K33"/>
    </row>
    <row r="34" spans="2:11" ht="15" customHeight="1" x14ac:dyDescent="0.3">
      <c r="B34" s="8"/>
      <c r="C34" s="9" t="s">
        <v>44</v>
      </c>
      <c r="D34"/>
      <c r="E34"/>
      <c r="F34"/>
      <c r="G34"/>
      <c r="H34"/>
      <c r="I34"/>
      <c r="J34"/>
      <c r="K34"/>
    </row>
    <row r="35" spans="2:11" ht="15" customHeight="1" x14ac:dyDescent="0.3">
      <c r="B35" s="13"/>
      <c r="C35" s="15">
        <f>_xll.PTreeNodeValue(treeCalc_1!$F$2,1)</f>
        <v>2900</v>
      </c>
      <c r="D35"/>
      <c r="E35"/>
      <c r="F35"/>
      <c r="G35"/>
      <c r="H35"/>
      <c r="I35"/>
      <c r="J35"/>
      <c r="K35"/>
    </row>
    <row r="36" spans="2:11" ht="15" customHeight="1" x14ac:dyDescent="0.3">
      <c r="B36"/>
      <c r="C36" s="10" t="b">
        <f>_xll.PTreeNodeDecision(treeCalc_1!$F$2,3)</f>
        <v>0</v>
      </c>
      <c r="D36" s="7">
        <f>_xll.PTreeNodeProbability(treeCalc_1!$F$2,3)</f>
        <v>0</v>
      </c>
      <c r="E36"/>
      <c r="F36"/>
      <c r="G36"/>
      <c r="H36"/>
      <c r="I36"/>
      <c r="J36"/>
      <c r="K36"/>
    </row>
    <row r="37" spans="2:11" ht="15" customHeight="1" x14ac:dyDescent="0.25">
      <c r="B37"/>
      <c r="C37" s="13">
        <v>0</v>
      </c>
      <c r="D37" s="16">
        <f>_xll.PTreeNodeValue(treeCalc_1!$F$2,3)</f>
        <v>0</v>
      </c>
      <c r="E37"/>
      <c r="F37"/>
      <c r="G37"/>
      <c r="H37"/>
      <c r="I37"/>
      <c r="J37"/>
      <c r="K37"/>
    </row>
    <row r="38" spans="2:11" x14ac:dyDescent="0.25">
      <c r="B38" s="2"/>
      <c r="C38" s="1"/>
      <c r="D38" s="1"/>
      <c r="E38" s="1"/>
      <c r="F38" s="1"/>
      <c r="G38" s="4"/>
      <c r="H38" s="1"/>
      <c r="I38" s="1"/>
      <c r="J38" s="1"/>
      <c r="K38" s="1"/>
    </row>
    <row r="39" spans="2:11" x14ac:dyDescent="0.25">
      <c r="B39" s="2"/>
      <c r="C39" s="1"/>
      <c r="D39" s="1"/>
      <c r="E39" s="1"/>
      <c r="F39" s="1"/>
      <c r="G39" s="4"/>
      <c r="H39" s="1"/>
      <c r="I39" s="1"/>
      <c r="J39" s="1"/>
      <c r="K39" s="1"/>
    </row>
    <row r="40" spans="2:11" x14ac:dyDescent="0.25">
      <c r="B40" s="2"/>
      <c r="C40" s="1"/>
      <c r="D40" s="1"/>
      <c r="E40" s="1"/>
      <c r="F40" s="1"/>
      <c r="G40" s="4"/>
      <c r="H40" s="1"/>
      <c r="I40" s="1"/>
      <c r="J40" s="1"/>
      <c r="K40" s="1"/>
    </row>
    <row r="41" spans="2:11" x14ac:dyDescent="0.25">
      <c r="B41" s="2"/>
      <c r="C41" s="1"/>
      <c r="D41" s="1"/>
      <c r="E41" s="1"/>
      <c r="F41" s="1"/>
      <c r="G41" s="4"/>
      <c r="H41" s="1"/>
      <c r="I41" s="1"/>
      <c r="J41" s="1"/>
      <c r="K41" s="1"/>
    </row>
    <row r="42" spans="2:11" x14ac:dyDescent="0.25">
      <c r="B42" s="2"/>
      <c r="C42" s="1"/>
      <c r="D42" s="1"/>
      <c r="E42" s="1"/>
      <c r="F42" s="1"/>
      <c r="G42" s="4"/>
      <c r="H42" s="1"/>
      <c r="I42" s="1"/>
      <c r="J42" s="1"/>
      <c r="K42" s="1"/>
    </row>
    <row r="43" spans="2:11" x14ac:dyDescent="0.25">
      <c r="B43" s="2"/>
      <c r="C43" s="1"/>
      <c r="D43" s="1"/>
      <c r="E43" s="1"/>
      <c r="F43" s="1"/>
      <c r="G43" s="4"/>
      <c r="H43" s="1"/>
      <c r="I43" s="1"/>
      <c r="J43" s="1"/>
      <c r="K43" s="1"/>
    </row>
    <row r="44" spans="2:11" x14ac:dyDescent="0.25">
      <c r="B44" s="2"/>
      <c r="C44" s="1"/>
      <c r="D44" s="1"/>
      <c r="E44" s="1"/>
      <c r="F44" s="1"/>
      <c r="G44" s="4"/>
      <c r="H44" s="1"/>
      <c r="I44" s="1"/>
      <c r="J44" s="1"/>
      <c r="K44" s="1"/>
    </row>
    <row r="45" spans="2:11" x14ac:dyDescent="0.25">
      <c r="B45" s="2"/>
      <c r="C45" s="1"/>
      <c r="D45" s="1"/>
      <c r="E45" s="1"/>
      <c r="F45" s="1"/>
      <c r="G45" s="4"/>
      <c r="H45" s="1"/>
      <c r="I45" s="1"/>
      <c r="J45" s="1"/>
      <c r="K45" s="1"/>
    </row>
    <row r="46" spans="2:11" x14ac:dyDescent="0.25">
      <c r="B46" s="2"/>
      <c r="C46" s="1"/>
      <c r="D46" s="1"/>
      <c r="E46" s="1"/>
      <c r="F46" s="1"/>
      <c r="G46" s="4"/>
      <c r="H46" s="1"/>
      <c r="I46" s="1"/>
      <c r="J46" s="1"/>
      <c r="K46" s="1"/>
    </row>
    <row r="47" spans="2:11" x14ac:dyDescent="0.25">
      <c r="B47" s="2"/>
      <c r="C47" s="1"/>
      <c r="D47" s="1"/>
      <c r="E47" s="1"/>
      <c r="F47" s="1"/>
      <c r="G47" s="4"/>
      <c r="H47" s="1"/>
      <c r="I47" s="1"/>
      <c r="J47" s="1"/>
      <c r="K47" s="1"/>
    </row>
    <row r="48" spans="2:11" x14ac:dyDescent="0.25">
      <c r="B48" s="2"/>
      <c r="C48" s="1"/>
      <c r="D48" s="1"/>
      <c r="E48" s="1"/>
      <c r="F48" s="1"/>
      <c r="G48" s="4"/>
      <c r="H48" s="1"/>
      <c r="I48" s="1"/>
      <c r="J48" s="1"/>
      <c r="K48" s="1"/>
    </row>
    <row r="49" spans="2:11" x14ac:dyDescent="0.25">
      <c r="B49" s="2"/>
      <c r="C49" s="1"/>
      <c r="D49" s="1"/>
      <c r="E49" s="1"/>
      <c r="F49" s="1"/>
      <c r="G49" s="4"/>
      <c r="H49" s="1"/>
      <c r="I49" s="1"/>
      <c r="J49" s="1"/>
      <c r="K49" s="1"/>
    </row>
    <row r="50" spans="2:11" x14ac:dyDescent="0.25">
      <c r="B50" s="2"/>
      <c r="C50" s="1"/>
      <c r="D50" s="1"/>
      <c r="E50" s="1"/>
      <c r="F50" s="1"/>
      <c r="G50" s="4"/>
      <c r="H50" s="1"/>
      <c r="I50" s="1"/>
      <c r="J50" s="1"/>
      <c r="K50" s="1"/>
    </row>
    <row r="51" spans="2:11" x14ac:dyDescent="0.25">
      <c r="B51" s="2"/>
      <c r="C51" s="1"/>
      <c r="D51" s="1"/>
      <c r="E51" s="1"/>
      <c r="F51" s="1"/>
      <c r="G51" s="4"/>
      <c r="H51" s="1"/>
      <c r="I51" s="1"/>
      <c r="J51" s="1"/>
      <c r="K51" s="1"/>
    </row>
    <row r="52" spans="2:11" x14ac:dyDescent="0.25">
      <c r="B52" s="2"/>
      <c r="C52" s="1"/>
      <c r="D52" s="1"/>
      <c r="E52" s="1"/>
      <c r="F52" s="1"/>
      <c r="G52" s="4"/>
      <c r="H52" s="1"/>
      <c r="I52" s="1"/>
      <c r="J52" s="1"/>
      <c r="K52" s="1"/>
    </row>
    <row r="53" spans="2:11" x14ac:dyDescent="0.25">
      <c r="B53" s="2"/>
      <c r="C53" s="1"/>
      <c r="D53" s="1"/>
      <c r="E53" s="1"/>
      <c r="F53" s="1"/>
      <c r="G53" s="4"/>
      <c r="H53" s="1"/>
      <c r="I53" s="1"/>
      <c r="J53" s="1"/>
      <c r="K53" s="1"/>
    </row>
    <row r="54" spans="2:11" x14ac:dyDescent="0.25">
      <c r="B54" s="2"/>
      <c r="C54" s="1"/>
      <c r="D54" s="1"/>
      <c r="E54" s="1"/>
      <c r="F54" s="1"/>
      <c r="G54" s="4"/>
      <c r="H54" s="1"/>
      <c r="I54" s="1"/>
      <c r="J54" s="1"/>
      <c r="K54" s="1"/>
    </row>
    <row r="55" spans="2:11" x14ac:dyDescent="0.25">
      <c r="B55" s="2"/>
      <c r="C55" s="1"/>
      <c r="D55" s="1"/>
      <c r="E55" s="1"/>
      <c r="F55" s="1"/>
      <c r="G55" s="4"/>
      <c r="H55" s="1"/>
      <c r="I55" s="1"/>
      <c r="J55" s="1"/>
      <c r="K55" s="1"/>
    </row>
    <row r="56" spans="2:11" x14ac:dyDescent="0.25">
      <c r="B56" s="2"/>
      <c r="C56" s="1"/>
      <c r="D56" s="1"/>
      <c r="E56" s="1"/>
      <c r="F56" s="1"/>
      <c r="G56" s="4"/>
      <c r="H56" s="1"/>
      <c r="I56" s="1"/>
      <c r="J56" s="1"/>
      <c r="K56" s="1"/>
    </row>
    <row r="57" spans="2:11" x14ac:dyDescent="0.25">
      <c r="B57" s="2"/>
      <c r="C57" s="1"/>
      <c r="D57" s="1"/>
      <c r="E57" s="1"/>
      <c r="F57" s="1"/>
      <c r="G57" s="4"/>
      <c r="H57" s="1"/>
      <c r="I57" s="1"/>
      <c r="J57" s="1"/>
      <c r="K57" s="1"/>
    </row>
    <row r="58" spans="2:11" x14ac:dyDescent="0.25">
      <c r="B58" s="2"/>
      <c r="C58" s="1"/>
      <c r="D58" s="1"/>
      <c r="E58" s="1"/>
      <c r="F58" s="1"/>
      <c r="G58" s="4"/>
      <c r="H58" s="1"/>
      <c r="I58" s="1"/>
      <c r="J58" s="1"/>
      <c r="K58" s="1"/>
    </row>
    <row r="59" spans="2:11" x14ac:dyDescent="0.25">
      <c r="B59" s="2"/>
      <c r="C59" s="1"/>
      <c r="D59" s="1"/>
      <c r="E59" s="1"/>
      <c r="F59" s="1"/>
      <c r="G59" s="4"/>
      <c r="H59" s="1"/>
      <c r="I59" s="1"/>
      <c r="J59" s="1"/>
      <c r="K59" s="1"/>
    </row>
    <row r="60" spans="2:11" x14ac:dyDescent="0.25">
      <c r="B60" s="2"/>
      <c r="C60" s="1"/>
      <c r="D60" s="1"/>
      <c r="E60" s="1"/>
      <c r="F60" s="1"/>
      <c r="G60" s="4"/>
      <c r="H60" s="1"/>
      <c r="I60" s="1"/>
      <c r="J60" s="1"/>
      <c r="K60" s="1"/>
    </row>
    <row r="61" spans="2:11" x14ac:dyDescent="0.25">
      <c r="B61" s="2"/>
      <c r="C61" s="1"/>
      <c r="D61" s="1"/>
      <c r="E61" s="1"/>
      <c r="F61" s="1"/>
      <c r="G61" s="4"/>
      <c r="H61" s="1"/>
      <c r="I61" s="1"/>
      <c r="J61" s="1"/>
      <c r="K61" s="1"/>
    </row>
    <row r="62" spans="2:11" x14ac:dyDescent="0.25">
      <c r="B62" s="2"/>
      <c r="C62" s="1"/>
      <c r="D62" s="1"/>
      <c r="E62" s="1"/>
      <c r="F62" s="1"/>
      <c r="G62" s="4"/>
      <c r="H62" s="1"/>
      <c r="I62" s="1"/>
      <c r="J62" s="1"/>
      <c r="K62" s="1"/>
    </row>
    <row r="63" spans="2:11" x14ac:dyDescent="0.25">
      <c r="B63" s="2"/>
      <c r="C63" s="1"/>
      <c r="D63" s="1"/>
      <c r="E63" s="1"/>
      <c r="F63" s="1"/>
      <c r="G63" s="4"/>
      <c r="H63" s="1"/>
      <c r="I63" s="1"/>
      <c r="J63" s="1"/>
      <c r="K63" s="1"/>
    </row>
    <row r="64" spans="2:11" x14ac:dyDescent="0.25">
      <c r="B64" s="2"/>
      <c r="C64" s="1"/>
      <c r="D64" s="1"/>
      <c r="E64" s="1"/>
      <c r="F64" s="1"/>
      <c r="G64" s="4"/>
      <c r="H64" s="1"/>
      <c r="I64" s="1"/>
      <c r="J64" s="1"/>
      <c r="K64" s="1"/>
    </row>
    <row r="65" spans="2:11" x14ac:dyDescent="0.25">
      <c r="B65" s="2"/>
      <c r="C65" s="1"/>
      <c r="D65" s="1"/>
      <c r="E65" s="1"/>
      <c r="F65" s="1"/>
      <c r="G65" s="4"/>
      <c r="H65" s="1"/>
      <c r="I65" s="1"/>
      <c r="J65" s="1"/>
      <c r="K65" s="1"/>
    </row>
    <row r="66" spans="2:11" x14ac:dyDescent="0.25">
      <c r="B66" s="2"/>
      <c r="C66" s="1"/>
      <c r="D66" s="1"/>
      <c r="E66" s="1"/>
      <c r="F66" s="1"/>
      <c r="G66" s="4"/>
      <c r="H66" s="1"/>
      <c r="I66" s="1"/>
      <c r="J66" s="1"/>
      <c r="K66" s="1"/>
    </row>
    <row r="67" spans="2:11" x14ac:dyDescent="0.25">
      <c r="B67" s="2"/>
      <c r="C67" s="1"/>
      <c r="D67" s="1"/>
      <c r="E67" s="1"/>
      <c r="F67" s="1"/>
      <c r="G67" s="4"/>
      <c r="H67" s="1"/>
      <c r="I67" s="1"/>
      <c r="J67" s="1"/>
      <c r="K67" s="1"/>
    </row>
    <row r="68" spans="2:11" x14ac:dyDescent="0.25">
      <c r="B68" s="2"/>
      <c r="C68" s="1"/>
      <c r="D68" s="1"/>
      <c r="E68" s="1"/>
      <c r="F68" s="1"/>
      <c r="G68" s="4"/>
      <c r="H68" s="1"/>
      <c r="I68" s="1"/>
      <c r="J68" s="1"/>
      <c r="K68" s="1"/>
    </row>
    <row r="69" spans="2:11" x14ac:dyDescent="0.25">
      <c r="B69" s="2"/>
      <c r="C69" s="1"/>
      <c r="D69" s="1"/>
      <c r="E69" s="1"/>
      <c r="F69" s="1"/>
      <c r="G69" s="4"/>
      <c r="H69" s="1"/>
      <c r="I69" s="1"/>
      <c r="J69" s="1"/>
      <c r="K69" s="1"/>
    </row>
    <row r="70" spans="2:11" x14ac:dyDescent="0.25">
      <c r="B70" s="2"/>
      <c r="C70" s="1"/>
      <c r="D70" s="1"/>
      <c r="E70" s="1"/>
      <c r="F70" s="1"/>
      <c r="G70" s="4"/>
      <c r="H70" s="1"/>
      <c r="I70" s="1"/>
      <c r="J70" s="1"/>
      <c r="K70" s="1"/>
    </row>
    <row r="71" spans="2:11" x14ac:dyDescent="0.25">
      <c r="B71" s="2"/>
      <c r="C71" s="1"/>
      <c r="D71" s="1"/>
      <c r="E71" s="1"/>
      <c r="F71" s="1"/>
      <c r="G71" s="4"/>
      <c r="H71" s="1"/>
      <c r="I71" s="1"/>
      <c r="J71" s="1"/>
      <c r="K71" s="1"/>
    </row>
    <row r="72" spans="2:11" x14ac:dyDescent="0.25">
      <c r="B72" s="2"/>
      <c r="C72" s="1"/>
      <c r="D72" s="1"/>
      <c r="E72" s="1"/>
      <c r="F72" s="1"/>
      <c r="G72" s="4"/>
      <c r="H72" s="1"/>
      <c r="I72" s="1"/>
      <c r="J72" s="1"/>
      <c r="K72" s="1"/>
    </row>
    <row r="73" spans="2:11" x14ac:dyDescent="0.25">
      <c r="B73" s="2"/>
      <c r="C73" s="1"/>
      <c r="D73" s="1"/>
      <c r="E73" s="1"/>
      <c r="F73" s="1"/>
      <c r="G73" s="4"/>
      <c r="H73" s="1"/>
      <c r="I73" s="1"/>
      <c r="J73" s="1"/>
      <c r="K73" s="1"/>
    </row>
    <row r="74" spans="2:11" x14ac:dyDescent="0.25">
      <c r="B74" s="2"/>
      <c r="C74" s="1"/>
      <c r="D74" s="1"/>
      <c r="E74" s="1"/>
      <c r="F74" s="1"/>
      <c r="G74" s="1"/>
      <c r="H74" s="1"/>
      <c r="I74" s="1"/>
      <c r="J74" s="1"/>
      <c r="K74" s="1"/>
    </row>
    <row r="75" spans="2:11" x14ac:dyDescent="0.25">
      <c r="B75" s="2"/>
      <c r="C75" s="1"/>
      <c r="D75" s="1"/>
      <c r="E75" s="1"/>
      <c r="F75" s="1"/>
      <c r="G75" s="1"/>
      <c r="H75" s="1"/>
      <c r="I75" s="1"/>
      <c r="J75" s="1"/>
      <c r="K75" s="1"/>
    </row>
    <row r="76" spans="2:11" x14ac:dyDescent="0.25">
      <c r="B76" s="2"/>
      <c r="C76" s="1"/>
      <c r="D76" s="1"/>
      <c r="E76" s="1"/>
      <c r="F76" s="1"/>
      <c r="G76" s="1"/>
      <c r="H76" s="1"/>
      <c r="I76" s="1"/>
      <c r="J76" s="1"/>
      <c r="K76" s="1"/>
    </row>
    <row r="77" spans="2:11" x14ac:dyDescent="0.25">
      <c r="B77" s="2"/>
      <c r="C77" s="1"/>
      <c r="D77" s="1"/>
      <c r="E77" s="1"/>
      <c r="F77" s="1"/>
      <c r="G77" s="1"/>
      <c r="H77" s="1"/>
      <c r="I77" s="1"/>
      <c r="J77" s="1"/>
      <c r="K77" s="1"/>
    </row>
    <row r="78" spans="2:11" x14ac:dyDescent="0.25">
      <c r="B78" s="2"/>
      <c r="C78" s="1"/>
      <c r="D78" s="1"/>
      <c r="E78" s="1"/>
      <c r="F78" s="1"/>
      <c r="G78" s="1"/>
      <c r="H78" s="1"/>
      <c r="I78" s="1"/>
      <c r="J78" s="1"/>
      <c r="K78" s="1"/>
    </row>
    <row r="79" spans="2:11" x14ac:dyDescent="0.25">
      <c r="B79" s="2"/>
      <c r="C79" s="1"/>
      <c r="D79" s="1"/>
      <c r="E79" s="1"/>
      <c r="F79" s="1"/>
      <c r="G79" s="1"/>
      <c r="H79" s="1"/>
      <c r="I79" s="1"/>
      <c r="J79" s="1"/>
      <c r="K79" s="1"/>
    </row>
    <row r="80" spans="2:11" x14ac:dyDescent="0.25">
      <c r="B80" s="2"/>
      <c r="C80" s="1"/>
      <c r="D80" s="1"/>
      <c r="E80" s="1"/>
      <c r="F80" s="1"/>
      <c r="G80" s="1"/>
      <c r="H80" s="1"/>
      <c r="I80" s="1"/>
      <c r="J80" s="1"/>
      <c r="K80" s="1"/>
    </row>
    <row r="81" spans="2:11" x14ac:dyDescent="0.25">
      <c r="B81" s="2"/>
      <c r="C81" s="1"/>
      <c r="D81" s="1"/>
      <c r="E81" s="1"/>
      <c r="F81" s="1"/>
      <c r="G81" s="1"/>
      <c r="H81" s="1"/>
      <c r="I81" s="1"/>
      <c r="J81" s="1"/>
      <c r="K81"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4"/>
  <sheetViews>
    <sheetView workbookViewId="0"/>
  </sheetViews>
  <sheetFormatPr defaultColWidth="15.7109375" defaultRowHeight="15" x14ac:dyDescent="0.25"/>
  <cols>
    <col min="1" max="16384" width="15.7109375" style="3"/>
  </cols>
  <sheetData>
    <row r="1" spans="1:16" x14ac:dyDescent="0.25">
      <c r="A1" s="3" t="s">
        <v>0</v>
      </c>
      <c r="B1" s="6" t="s">
        <v>68</v>
      </c>
      <c r="E1" s="3" t="s">
        <v>8</v>
      </c>
      <c r="F1" s="3">
        <v>3</v>
      </c>
      <c r="H1" s="3" t="s">
        <v>14</v>
      </c>
      <c r="I1" s="6" t="s">
        <v>40</v>
      </c>
      <c r="K1" s="3" t="s">
        <v>19</v>
      </c>
      <c r="L1" s="3">
        <v>100</v>
      </c>
    </row>
    <row r="2" spans="1:16" x14ac:dyDescent="0.25">
      <c r="A2" s="3" t="s">
        <v>1</v>
      </c>
      <c r="B2" s="3" t="e">
        <f>Model!#REF!</f>
        <v>#REF!</v>
      </c>
      <c r="E2" s="3" t="s">
        <v>9</v>
      </c>
      <c r="F2" s="3">
        <f>_xll.PTreeEvaluate5(B3,$L$11:$L$34,$J$11:$J$34,$K$11:$K$34,$N$11:$N$34,$G$11:$G$34,,L1)</f>
        <v>154369</v>
      </c>
    </row>
    <row r="3" spans="1:16" x14ac:dyDescent="0.25">
      <c r="A3" s="3" t="s">
        <v>2</v>
      </c>
      <c r="B3" s="3" t="s">
        <v>43</v>
      </c>
      <c r="E3" s="3" t="s">
        <v>10</v>
      </c>
      <c r="F3" s="6" t="s">
        <v>36</v>
      </c>
      <c r="H3" s="3" t="s">
        <v>15</v>
      </c>
      <c r="I3" s="14" t="s">
        <v>38</v>
      </c>
    </row>
    <row r="4" spans="1:16" x14ac:dyDescent="0.25">
      <c r="A4" s="3" t="s">
        <v>3</v>
      </c>
      <c r="B4" s="3" t="s">
        <v>35</v>
      </c>
      <c r="E4" s="3" t="s">
        <v>11</v>
      </c>
      <c r="F4" s="6" t="s">
        <v>37</v>
      </c>
      <c r="H4" s="3" t="s">
        <v>16</v>
      </c>
      <c r="I4" s="6" t="s">
        <v>39</v>
      </c>
    </row>
    <row r="5" spans="1:16" x14ac:dyDescent="0.25">
      <c r="A5" s="3" t="s">
        <v>4</v>
      </c>
      <c r="B5" s="3">
        <v>0</v>
      </c>
      <c r="E5" s="3" t="s">
        <v>12</v>
      </c>
      <c r="F5" s="6" t="s">
        <v>37</v>
      </c>
      <c r="H5" s="3" t="s">
        <v>17</v>
      </c>
      <c r="I5" s="14" t="s">
        <v>38</v>
      </c>
    </row>
    <row r="6" spans="1:16" x14ac:dyDescent="0.25">
      <c r="A6" s="3" t="s">
        <v>5</v>
      </c>
      <c r="E6" s="3" t="s">
        <v>13</v>
      </c>
      <c r="F6" s="6" t="s">
        <v>103</v>
      </c>
      <c r="H6" s="3" t="s">
        <v>18</v>
      </c>
      <c r="I6" s="6" t="s">
        <v>39</v>
      </c>
    </row>
    <row r="7" spans="1:16" x14ac:dyDescent="0.25">
      <c r="A7" s="3" t="s">
        <v>6</v>
      </c>
      <c r="F7" s="6" t="s">
        <v>84</v>
      </c>
    </row>
    <row r="8" spans="1:16" x14ac:dyDescent="0.25">
      <c r="A8" s="3" t="s">
        <v>7</v>
      </c>
      <c r="B8" s="3">
        <v>24</v>
      </c>
    </row>
    <row r="10" spans="1:16" x14ac:dyDescent="0.25">
      <c r="A10" s="3" t="s">
        <v>20</v>
      </c>
      <c r="B10" s="3" t="s">
        <v>21</v>
      </c>
      <c r="C10" s="3" t="s">
        <v>22</v>
      </c>
      <c r="D10" s="3" t="s">
        <v>23</v>
      </c>
      <c r="E10" s="3" t="s">
        <v>24</v>
      </c>
      <c r="F10" s="3" t="s">
        <v>25</v>
      </c>
      <c r="G10" s="3" t="s">
        <v>26</v>
      </c>
      <c r="H10" s="3" t="s">
        <v>27</v>
      </c>
      <c r="I10" s="3" t="s">
        <v>28</v>
      </c>
      <c r="J10" s="3" t="s">
        <v>29</v>
      </c>
      <c r="K10" s="3" t="s">
        <v>30</v>
      </c>
      <c r="L10" s="3" t="s">
        <v>2</v>
      </c>
      <c r="M10" s="3" t="s">
        <v>31</v>
      </c>
      <c r="N10" s="3" t="s">
        <v>32</v>
      </c>
      <c r="O10" s="3" t="s">
        <v>33</v>
      </c>
      <c r="P10" s="3" t="s">
        <v>34</v>
      </c>
    </row>
    <row r="11" spans="1:16" x14ac:dyDescent="0.25">
      <c r="A11" s="3">
        <f>Model!$C$35</f>
        <v>2900</v>
      </c>
      <c r="B11" s="3" t="str">
        <f>B1</f>
        <v>Bidding Decision</v>
      </c>
      <c r="C11" s="3">
        <v>0</v>
      </c>
      <c r="I11" s="3" t="s">
        <v>41</v>
      </c>
      <c r="J11" s="3">
        <f>Model!$B$35</f>
        <v>0</v>
      </c>
      <c r="K11" s="3">
        <f>Model!$B$34</f>
        <v>0</v>
      </c>
      <c r="L11" s="3" t="s">
        <v>46</v>
      </c>
      <c r="M11" s="6" t="s">
        <v>42</v>
      </c>
      <c r="O11" s="3" t="str">
        <f>Model!$C$34</f>
        <v>Place a bid</v>
      </c>
      <c r="P11" s="3" t="b">
        <v>0</v>
      </c>
    </row>
    <row r="12" spans="1:16" x14ac:dyDescent="0.25">
      <c r="A12" s="3">
        <f>Model!$D$13</f>
        <v>2900</v>
      </c>
      <c r="B12" s="6" t="s">
        <v>47</v>
      </c>
      <c r="C12" s="3">
        <v>0</v>
      </c>
      <c r="I12" s="3" t="s">
        <v>41</v>
      </c>
      <c r="J12" s="3">
        <f>Model!$C$13</f>
        <v>-7500</v>
      </c>
      <c r="L12" s="3" t="s">
        <v>50</v>
      </c>
      <c r="M12" s="6" t="s">
        <v>42</v>
      </c>
      <c r="O12" s="3" t="str">
        <f>Model!$D$12</f>
        <v>Bid Amount</v>
      </c>
      <c r="P12" s="3" t="b">
        <v>0</v>
      </c>
    </row>
    <row r="13" spans="1:16" x14ac:dyDescent="0.25">
      <c r="A13" s="3">
        <f>Model!$D$37</f>
        <v>0</v>
      </c>
      <c r="B13" s="6" t="s">
        <v>48</v>
      </c>
      <c r="C13" s="3">
        <v>0</v>
      </c>
      <c r="H13" s="3" t="s">
        <v>41</v>
      </c>
      <c r="I13" s="3" t="s">
        <v>41</v>
      </c>
      <c r="J13" s="3">
        <f>Model!$C$37</f>
        <v>0</v>
      </c>
      <c r="L13" s="3" t="s">
        <v>45</v>
      </c>
      <c r="M13" s="6" t="s">
        <v>42</v>
      </c>
      <c r="P13" s="3" t="b">
        <v>0</v>
      </c>
    </row>
    <row r="14" spans="1:16" x14ac:dyDescent="0.25">
      <c r="A14" s="3">
        <f>Model!$E$9</f>
        <v>900</v>
      </c>
      <c r="B14" s="6" t="s">
        <v>51</v>
      </c>
      <c r="C14" s="3">
        <v>0</v>
      </c>
      <c r="I14" s="3" t="s">
        <v>41</v>
      </c>
      <c r="J14" s="3">
        <f>Model!$D$9</f>
        <v>0</v>
      </c>
      <c r="L14" s="3" t="s">
        <v>56</v>
      </c>
      <c r="M14" s="6" t="s">
        <v>42</v>
      </c>
      <c r="O14" s="3" t="str">
        <f>Model!$E$8</f>
        <v>Any competing bid</v>
      </c>
      <c r="P14" s="3" t="b">
        <v>0</v>
      </c>
    </row>
    <row r="15" spans="1:16" x14ac:dyDescent="0.25">
      <c r="A15" s="3">
        <f>Model!$E$21</f>
        <v>2900</v>
      </c>
      <c r="B15" s="6" t="s">
        <v>52</v>
      </c>
      <c r="C15" s="3">
        <v>0</v>
      </c>
      <c r="I15" s="3" t="s">
        <v>41</v>
      </c>
      <c r="J15" s="3">
        <f>Model!$D$21</f>
        <v>0</v>
      </c>
      <c r="L15" s="3" t="s">
        <v>59</v>
      </c>
      <c r="M15" s="6" t="s">
        <v>42</v>
      </c>
      <c r="O15" s="3" t="str">
        <f>Model!$E$20</f>
        <v>Any competing bid</v>
      </c>
      <c r="P15" s="3" t="b">
        <v>0</v>
      </c>
    </row>
    <row r="16" spans="1:16" x14ac:dyDescent="0.25">
      <c r="A16" s="3">
        <f>Model!$E$31</f>
        <v>900</v>
      </c>
      <c r="B16" s="6" t="s">
        <v>53</v>
      </c>
      <c r="C16" s="3">
        <v>0</v>
      </c>
      <c r="I16" s="3" t="s">
        <v>41</v>
      </c>
      <c r="J16" s="3">
        <f>Model!$D$31</f>
        <v>0</v>
      </c>
      <c r="L16" s="3" t="s">
        <v>62</v>
      </c>
      <c r="M16" s="6" t="s">
        <v>42</v>
      </c>
      <c r="O16" s="3" t="str">
        <f>Model!$E$30</f>
        <v>Any competing bid</v>
      </c>
      <c r="P16" s="3" t="b">
        <v>0</v>
      </c>
    </row>
    <row r="17" spans="1:16" x14ac:dyDescent="0.25">
      <c r="A17" s="3">
        <f>Model!$F$5</f>
        <v>500</v>
      </c>
      <c r="B17" s="6" t="s">
        <v>47</v>
      </c>
      <c r="C17" s="3">
        <v>0</v>
      </c>
      <c r="I17" s="3" t="s">
        <v>41</v>
      </c>
      <c r="J17" s="3">
        <f>Model!$E$5</f>
        <v>0</v>
      </c>
      <c r="K17" s="3">
        <f>Model!$E$4</f>
        <v>0.8</v>
      </c>
      <c r="L17" s="3" t="s">
        <v>58</v>
      </c>
      <c r="M17" s="6" t="s">
        <v>42</v>
      </c>
      <c r="O17" s="3" t="str">
        <f>Model!$F$4</f>
        <v>Underbid Competitor</v>
      </c>
      <c r="P17" s="3" t="b">
        <v>0</v>
      </c>
    </row>
    <row r="18" spans="1:16" x14ac:dyDescent="0.25">
      <c r="A18" s="3">
        <f>Model!$F$11</f>
        <v>2500</v>
      </c>
      <c r="B18" s="6" t="s">
        <v>48</v>
      </c>
      <c r="C18" s="3">
        <v>0</v>
      </c>
      <c r="H18" s="3" t="s">
        <v>41</v>
      </c>
      <c r="I18" s="3" t="s">
        <v>41</v>
      </c>
      <c r="J18" s="3">
        <f>Model!$E$11</f>
        <v>10000</v>
      </c>
      <c r="K18" s="3">
        <f>Model!$E$10</f>
        <v>0.2</v>
      </c>
      <c r="L18" s="3" t="s">
        <v>55</v>
      </c>
      <c r="M18" s="6" t="s">
        <v>42</v>
      </c>
      <c r="P18" s="3" t="b">
        <v>0</v>
      </c>
    </row>
    <row r="19" spans="1:16" x14ac:dyDescent="0.25">
      <c r="A19" s="3">
        <f>Model!$G$3</f>
        <v>2500</v>
      </c>
      <c r="B19" s="6" t="s">
        <v>47</v>
      </c>
      <c r="C19" s="3">
        <v>0</v>
      </c>
      <c r="H19" s="3" t="s">
        <v>41</v>
      </c>
      <c r="I19" s="3" t="s">
        <v>41</v>
      </c>
      <c r="J19" s="3">
        <f>Model!$F$3</f>
        <v>10000</v>
      </c>
      <c r="K19" s="3">
        <f>Model!$F$2</f>
        <v>0.8</v>
      </c>
      <c r="L19" s="3" t="s">
        <v>57</v>
      </c>
      <c r="M19" s="6" t="s">
        <v>42</v>
      </c>
      <c r="P19" s="3" t="b">
        <v>0</v>
      </c>
    </row>
    <row r="20" spans="1:16" x14ac:dyDescent="0.25">
      <c r="A20" s="3">
        <f>Model!$G$7</f>
        <v>-7500</v>
      </c>
      <c r="B20" s="6" t="s">
        <v>48</v>
      </c>
      <c r="C20" s="3">
        <v>0</v>
      </c>
      <c r="H20" s="3" t="s">
        <v>41</v>
      </c>
      <c r="I20" s="3" t="s">
        <v>41</v>
      </c>
      <c r="J20" s="3">
        <f>Model!$F$7</f>
        <v>0</v>
      </c>
      <c r="K20" s="3">
        <f>Model!$F$6</f>
        <v>0.2</v>
      </c>
      <c r="L20" s="3" t="s">
        <v>57</v>
      </c>
      <c r="M20" s="6" t="s">
        <v>42</v>
      </c>
      <c r="P20" s="3" t="b">
        <v>0</v>
      </c>
    </row>
    <row r="21" spans="1:16" x14ac:dyDescent="0.25">
      <c r="A21" s="3">
        <f>Model!$G$15</f>
        <v>12500</v>
      </c>
      <c r="B21" s="6" t="s">
        <v>47</v>
      </c>
      <c r="C21" s="3">
        <v>0</v>
      </c>
      <c r="H21" s="3" t="s">
        <v>41</v>
      </c>
      <c r="I21" s="3" t="s">
        <v>41</v>
      </c>
      <c r="J21" s="3">
        <f>Model!$F$15</f>
        <v>20000</v>
      </c>
      <c r="K21" s="3">
        <f>Model!$F$14</f>
        <v>0.4</v>
      </c>
      <c r="L21" s="3" t="s">
        <v>60</v>
      </c>
      <c r="M21" s="6" t="s">
        <v>42</v>
      </c>
      <c r="P21" s="3" t="b">
        <v>0</v>
      </c>
    </row>
    <row r="22" spans="1:16" x14ac:dyDescent="0.25">
      <c r="A22" s="3">
        <f>Model!$G$19</f>
        <v>-7500</v>
      </c>
      <c r="B22" s="6" t="s">
        <v>48</v>
      </c>
      <c r="C22" s="3">
        <v>0</v>
      </c>
      <c r="H22" s="3" t="s">
        <v>41</v>
      </c>
      <c r="I22" s="3" t="s">
        <v>41</v>
      </c>
      <c r="J22" s="3">
        <f>Model!$F$19</f>
        <v>0</v>
      </c>
      <c r="K22" s="3">
        <f>Model!$F$18</f>
        <v>0.6</v>
      </c>
      <c r="L22" s="3" t="s">
        <v>60</v>
      </c>
      <c r="M22" s="6" t="s">
        <v>42</v>
      </c>
      <c r="P22" s="3" t="b">
        <v>0</v>
      </c>
    </row>
    <row r="23" spans="1:16" x14ac:dyDescent="0.25">
      <c r="A23" s="3">
        <f>Model!$F$17</f>
        <v>500</v>
      </c>
      <c r="B23" s="6" t="s">
        <v>47</v>
      </c>
      <c r="C23" s="3">
        <v>0</v>
      </c>
      <c r="I23" s="3" t="s">
        <v>41</v>
      </c>
      <c r="J23" s="3">
        <f>Model!$E$17</f>
        <v>0</v>
      </c>
      <c r="K23" s="3">
        <f>Model!$E$16</f>
        <v>0.8</v>
      </c>
      <c r="L23" s="3" t="s">
        <v>66</v>
      </c>
      <c r="M23" s="6" t="s">
        <v>42</v>
      </c>
      <c r="O23" s="3" t="str">
        <f>Model!$F$16</f>
        <v>Underbid Competitor</v>
      </c>
      <c r="P23" s="3" t="b">
        <v>0</v>
      </c>
    </row>
    <row r="24" spans="1:16" x14ac:dyDescent="0.25">
      <c r="A24" s="3">
        <f>Model!$G$25</f>
        <v>22500</v>
      </c>
      <c r="B24" s="6" t="s">
        <v>47</v>
      </c>
      <c r="C24" s="3">
        <v>0</v>
      </c>
      <c r="H24" s="3" t="s">
        <v>41</v>
      </c>
      <c r="I24" s="3" t="s">
        <v>41</v>
      </c>
      <c r="J24" s="3">
        <f>Model!$F$25</f>
        <v>30000</v>
      </c>
      <c r="K24" s="3">
        <f>Model!$F$24</f>
        <v>0.1</v>
      </c>
      <c r="L24" s="3" t="s">
        <v>63</v>
      </c>
      <c r="M24" s="6" t="s">
        <v>42</v>
      </c>
      <c r="P24" s="3" t="b">
        <v>0</v>
      </c>
    </row>
    <row r="25" spans="1:16" x14ac:dyDescent="0.25">
      <c r="A25" s="3">
        <f>Model!$G$29</f>
        <v>-7500</v>
      </c>
      <c r="B25" s="6" t="s">
        <v>48</v>
      </c>
      <c r="C25" s="3">
        <v>0</v>
      </c>
      <c r="H25" s="3" t="s">
        <v>41</v>
      </c>
      <c r="I25" s="3" t="s">
        <v>41</v>
      </c>
      <c r="J25" s="3">
        <f>Model!$F$29</f>
        <v>0</v>
      </c>
      <c r="K25" s="3">
        <f>Model!$F$28</f>
        <v>0.9</v>
      </c>
      <c r="L25" s="3" t="s">
        <v>63</v>
      </c>
      <c r="M25" s="6" t="s">
        <v>42</v>
      </c>
      <c r="P25" s="3" t="b">
        <v>0</v>
      </c>
    </row>
    <row r="26" spans="1:16" x14ac:dyDescent="0.25">
      <c r="B26" s="6"/>
      <c r="M26" s="6"/>
    </row>
    <row r="27" spans="1:16" ht="14.45" x14ac:dyDescent="0.3">
      <c r="B27" s="6"/>
      <c r="M27" s="6"/>
    </row>
    <row r="28" spans="1:16" ht="14.45" x14ac:dyDescent="0.3">
      <c r="A28" s="3">
        <f>Model!$F$23</f>
        <v>12500</v>
      </c>
      <c r="B28" s="6" t="s">
        <v>48</v>
      </c>
      <c r="C28" s="3">
        <v>0</v>
      </c>
      <c r="H28" s="3" t="s">
        <v>41</v>
      </c>
      <c r="I28" s="3" t="s">
        <v>41</v>
      </c>
      <c r="J28" s="3">
        <f>Model!$E$23</f>
        <v>20000</v>
      </c>
      <c r="K28" s="3">
        <f>Model!$E$22</f>
        <v>0.2</v>
      </c>
      <c r="L28" s="3" t="s">
        <v>61</v>
      </c>
      <c r="M28" s="6" t="s">
        <v>42</v>
      </c>
      <c r="P28" s="3" t="b">
        <v>0</v>
      </c>
    </row>
    <row r="29" spans="1:16" ht="14.45" x14ac:dyDescent="0.3">
      <c r="A29" s="3">
        <f>Model!$F$27</f>
        <v>-4500</v>
      </c>
      <c r="B29" s="6" t="s">
        <v>47</v>
      </c>
      <c r="C29" s="3">
        <v>0</v>
      </c>
      <c r="I29" s="3" t="s">
        <v>41</v>
      </c>
      <c r="J29" s="3">
        <f>Model!$E$27</f>
        <v>0</v>
      </c>
      <c r="K29" s="3">
        <f>Model!$E$26</f>
        <v>0.8</v>
      </c>
      <c r="L29" s="3" t="s">
        <v>67</v>
      </c>
      <c r="M29" s="6" t="s">
        <v>42</v>
      </c>
      <c r="O29" s="3" t="str">
        <f>Model!$F$26</f>
        <v>Underbid Competitor</v>
      </c>
      <c r="P29" s="3" t="b">
        <v>0</v>
      </c>
    </row>
    <row r="30" spans="1:16" ht="14.45" x14ac:dyDescent="0.3">
      <c r="B30" s="6"/>
      <c r="M30" s="6"/>
    </row>
    <row r="31" spans="1:16" ht="14.45" x14ac:dyDescent="0.3">
      <c r="B31" s="6"/>
      <c r="M31" s="6"/>
    </row>
    <row r="32" spans="1:16" ht="14.45" x14ac:dyDescent="0.3">
      <c r="B32" s="6"/>
      <c r="M32" s="6"/>
    </row>
    <row r="33" spans="1:16" ht="14.45" x14ac:dyDescent="0.3">
      <c r="B33" s="6"/>
      <c r="M33" s="6"/>
    </row>
    <row r="34" spans="1:16" ht="14.45" x14ac:dyDescent="0.3">
      <c r="A34" s="3">
        <f>Model!$F$33</f>
        <v>22500</v>
      </c>
      <c r="B34" s="6" t="s">
        <v>48</v>
      </c>
      <c r="C34" s="3">
        <v>0</v>
      </c>
      <c r="H34" s="3" t="s">
        <v>41</v>
      </c>
      <c r="I34" s="3" t="s">
        <v>41</v>
      </c>
      <c r="J34" s="3">
        <f>Model!$E$33</f>
        <v>30000</v>
      </c>
      <c r="K34" s="3">
        <f>Model!$E$32</f>
        <v>0.2</v>
      </c>
      <c r="L34" s="3" t="s">
        <v>64</v>
      </c>
      <c r="M34" s="6" t="s">
        <v>42</v>
      </c>
      <c r="P34" s="3"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3"/>
  <sheetViews>
    <sheetView zoomScale="85" zoomScaleNormal="85" workbookViewId="0">
      <selection activeCell="E31" sqref="E31"/>
    </sheetView>
  </sheetViews>
  <sheetFormatPr defaultRowHeight="15" x14ac:dyDescent="0.25"/>
  <cols>
    <col min="1" max="1" width="24.5703125" customWidth="1"/>
    <col min="2" max="5" width="22.28515625" customWidth="1"/>
    <col min="6" max="6" width="16.7109375" style="5" customWidth="1"/>
  </cols>
  <sheetData>
    <row r="1" spans="1:14" thickBot="1" x14ac:dyDescent="0.35">
      <c r="A1" s="18" t="s">
        <v>69</v>
      </c>
      <c r="B1" s="18"/>
      <c r="C1" s="18"/>
      <c r="D1" s="18"/>
      <c r="E1" s="18"/>
      <c r="F1" s="27"/>
    </row>
    <row r="4" spans="1:14" thickBot="1" x14ac:dyDescent="0.35">
      <c r="A4" s="18" t="s">
        <v>70</v>
      </c>
      <c r="B4" s="18"/>
      <c r="C4" s="18"/>
      <c r="D4" s="18"/>
      <c r="E4" s="18"/>
      <c r="F4" s="28"/>
    </row>
    <row r="5" spans="1:14" ht="14.45" x14ac:dyDescent="0.3">
      <c r="A5" t="s">
        <v>71</v>
      </c>
      <c r="F5" s="23">
        <v>7500</v>
      </c>
    </row>
    <row r="6" spans="1:14" ht="14.45" x14ac:dyDescent="0.3">
      <c r="A6" t="s">
        <v>72</v>
      </c>
      <c r="F6" s="23">
        <v>150000</v>
      </c>
    </row>
    <row r="7" spans="1:14" ht="14.45" x14ac:dyDescent="0.3">
      <c r="A7" s="19" t="s">
        <v>73</v>
      </c>
      <c r="B7" s="19"/>
      <c r="C7" s="19"/>
      <c r="D7" s="19"/>
      <c r="E7" s="19"/>
      <c r="F7" s="24">
        <v>0.75</v>
      </c>
    </row>
    <row r="9" spans="1:14" thickBot="1" x14ac:dyDescent="0.35">
      <c r="A9" s="18" t="s">
        <v>74</v>
      </c>
      <c r="B9" s="18"/>
      <c r="C9" s="18"/>
      <c r="D9" s="18"/>
      <c r="E9" s="18"/>
      <c r="F9" s="28"/>
      <c r="I9" s="18" t="s">
        <v>81</v>
      </c>
      <c r="J9" s="18"/>
      <c r="K9" s="18"/>
      <c r="L9" s="18"/>
      <c r="M9" s="18"/>
      <c r="N9" s="18"/>
    </row>
    <row r="10" spans="1:14" ht="14.45" x14ac:dyDescent="0.3">
      <c r="A10" s="20" t="s">
        <v>75</v>
      </c>
      <c r="B10" s="20"/>
      <c r="C10" s="20"/>
      <c r="D10" s="20"/>
      <c r="E10" s="20"/>
      <c r="F10" s="25" t="s">
        <v>76</v>
      </c>
      <c r="I10" s="20" t="s">
        <v>82</v>
      </c>
      <c r="J10" s="20"/>
      <c r="K10" s="20"/>
      <c r="L10" s="20" t="s">
        <v>83</v>
      </c>
      <c r="M10" s="20"/>
      <c r="N10" s="20"/>
    </row>
    <row r="11" spans="1:14" ht="14.45" x14ac:dyDescent="0.3">
      <c r="A11" t="s">
        <v>77</v>
      </c>
      <c r="F11" s="26">
        <v>0.2</v>
      </c>
      <c r="I11" s="22">
        <v>160000</v>
      </c>
      <c r="L11" s="21">
        <v>0.8</v>
      </c>
    </row>
    <row r="12" spans="1:14" ht="14.45" x14ac:dyDescent="0.3">
      <c r="A12" t="s">
        <v>78</v>
      </c>
      <c r="F12" s="26">
        <v>0.4</v>
      </c>
      <c r="I12" s="22">
        <v>170000</v>
      </c>
      <c r="L12" s="21">
        <v>0.4</v>
      </c>
    </row>
    <row r="13" spans="1:14" ht="14.45" x14ac:dyDescent="0.3">
      <c r="A13" t="s">
        <v>79</v>
      </c>
      <c r="F13" s="26">
        <v>0.3</v>
      </c>
      <c r="I13" s="22">
        <v>180000</v>
      </c>
      <c r="L13" s="21">
        <v>0.1</v>
      </c>
    </row>
    <row r="14" spans="1:14" ht="14.45" x14ac:dyDescent="0.3">
      <c r="A14" s="19" t="s">
        <v>80</v>
      </c>
      <c r="B14" s="19"/>
      <c r="C14" s="19"/>
      <c r="D14" s="19"/>
      <c r="E14" s="19"/>
      <c r="F14" s="24">
        <v>0.1</v>
      </c>
      <c r="I14" s="19"/>
      <c r="J14" s="19"/>
      <c r="K14" s="19"/>
      <c r="L14" s="19"/>
      <c r="M14" s="19"/>
      <c r="N14" s="19"/>
    </row>
    <row r="18" spans="2:6" ht="14.45" customHeight="1" x14ac:dyDescent="0.3">
      <c r="E18" s="12">
        <v>0.8</v>
      </c>
      <c r="F18" s="7">
        <f>_xll.PTreeNodeProbability(treeCalc_2!$F$2,9)</f>
        <v>0</v>
      </c>
    </row>
    <row r="19" spans="2:6" ht="14.45" customHeight="1" x14ac:dyDescent="0.3">
      <c r="E19" s="32">
        <f>160000-$F$6</f>
        <v>10000</v>
      </c>
      <c r="F19" s="29">
        <f>_xll.PTreeNodeValue(treeCalc_2!$F$2,9)</f>
        <v>2500</v>
      </c>
    </row>
    <row r="20" spans="2:6" ht="14.45" customHeight="1" x14ac:dyDescent="0.3">
      <c r="D20" s="12">
        <f>$F$7</f>
        <v>0.75</v>
      </c>
      <c r="E20" s="11" t="s">
        <v>96</v>
      </c>
      <c r="F20"/>
    </row>
    <row r="21" spans="2:6" ht="14.45" customHeight="1" x14ac:dyDescent="0.3">
      <c r="D21" s="8">
        <v>0</v>
      </c>
      <c r="E21" s="31">
        <f>_xll.PTreeNodeValue(treeCalc_2!$F$2,7)</f>
        <v>500</v>
      </c>
      <c r="F21"/>
    </row>
    <row r="22" spans="2:6" ht="14.45" customHeight="1" x14ac:dyDescent="0.3">
      <c r="E22" s="12">
        <v>0.2</v>
      </c>
      <c r="F22" s="7">
        <f>_xll.PTreeNodeProbability(treeCalc_2!$F$2,10)</f>
        <v>0</v>
      </c>
    </row>
    <row r="23" spans="2:6" ht="14.45" customHeight="1" x14ac:dyDescent="0.3">
      <c r="E23" s="8">
        <v>0</v>
      </c>
      <c r="F23" s="29">
        <f>_xll.PTreeNodeValue(treeCalc_2!$F$2,10)</f>
        <v>-7500</v>
      </c>
    </row>
    <row r="24" spans="2:6" ht="14.45" customHeight="1" x14ac:dyDescent="0.3">
      <c r="C24" s="10" t="b">
        <f>_xll.PTreeNodeDecision(treeCalc_2!$F$2,4)</f>
        <v>0</v>
      </c>
      <c r="D24" s="11" t="s">
        <v>95</v>
      </c>
      <c r="F24"/>
    </row>
    <row r="25" spans="2:6" ht="14.45" customHeight="1" x14ac:dyDescent="0.3">
      <c r="C25" s="8">
        <v>0</v>
      </c>
      <c r="D25" s="31">
        <f>_xll.PTreeNodeValue(treeCalc_2!$F$2,4)</f>
        <v>1000</v>
      </c>
      <c r="F25"/>
    </row>
    <row r="26" spans="2:6" ht="14.45" customHeight="1" x14ac:dyDescent="0.3">
      <c r="D26" s="12">
        <f>1-$F$7</f>
        <v>0.25</v>
      </c>
      <c r="E26" s="7">
        <f>_xll.PTreeNodeProbability(treeCalc_2!$F$2,8)</f>
        <v>0</v>
      </c>
      <c r="F26"/>
    </row>
    <row r="27" spans="2:6" ht="14.45" customHeight="1" x14ac:dyDescent="0.3">
      <c r="D27" s="32">
        <f>160000-$F$6</f>
        <v>10000</v>
      </c>
      <c r="E27" s="29">
        <f>_xll.PTreeNodeValue(treeCalc_2!$F$2,8)</f>
        <v>2500</v>
      </c>
      <c r="F27"/>
    </row>
    <row r="28" spans="2:6" ht="14.45" customHeight="1" x14ac:dyDescent="0.3">
      <c r="B28" s="10" t="b">
        <f>_xll.PTreeNodeDecision(treeCalc_2!$F$2,2)</f>
        <v>1</v>
      </c>
      <c r="C28" s="9" t="s">
        <v>91</v>
      </c>
      <c r="F28"/>
    </row>
    <row r="29" spans="2:6" ht="14.45" customHeight="1" x14ac:dyDescent="0.3">
      <c r="B29" s="32">
        <f>-$F$5</f>
        <v>-7500</v>
      </c>
      <c r="C29" s="30">
        <f>_xll.PTreeNodeValue(treeCalc_2!$F$2,2)</f>
        <v>3500</v>
      </c>
      <c r="F29"/>
    </row>
    <row r="30" spans="2:6" ht="14.45" customHeight="1" x14ac:dyDescent="0.3">
      <c r="E30" s="12">
        <v>0.4</v>
      </c>
      <c r="F30" s="7">
        <f>_xll.PTreeNodeProbability(treeCalc_2!$F$2,12)</f>
        <v>0.30000000000000004</v>
      </c>
    </row>
    <row r="31" spans="2:6" ht="14.45" customHeight="1" x14ac:dyDescent="0.3">
      <c r="E31" s="32">
        <f>170000-$F$6</f>
        <v>20000</v>
      </c>
      <c r="F31" s="29">
        <f>_xll.PTreeNodeValue(treeCalc_2!$F$2,12)</f>
        <v>12500</v>
      </c>
    </row>
    <row r="32" spans="2:6" ht="14.45" customHeight="1" x14ac:dyDescent="0.3">
      <c r="D32" s="12">
        <f>F7</f>
        <v>0.75</v>
      </c>
      <c r="E32" s="11" t="s">
        <v>96</v>
      </c>
      <c r="F32"/>
    </row>
    <row r="33" spans="3:6" ht="14.45" customHeight="1" x14ac:dyDescent="0.3">
      <c r="D33" s="8">
        <v>0</v>
      </c>
      <c r="E33" s="31">
        <f>_xll.PTreeNodeValue(treeCalc_2!$F$2,11)</f>
        <v>500</v>
      </c>
      <c r="F33"/>
    </row>
    <row r="34" spans="3:6" ht="14.45" customHeight="1" x14ac:dyDescent="0.3">
      <c r="E34" s="12">
        <v>0.6</v>
      </c>
      <c r="F34" s="7">
        <f>_xll.PTreeNodeProbability(treeCalc_2!$F$2,13)</f>
        <v>0.44999999999999996</v>
      </c>
    </row>
    <row r="35" spans="3:6" ht="14.45" customHeight="1" x14ac:dyDescent="0.3">
      <c r="E35" s="8">
        <v>0</v>
      </c>
      <c r="F35" s="29">
        <f>_xll.PTreeNodeValue(treeCalc_2!$F$2,13)</f>
        <v>-7500</v>
      </c>
    </row>
    <row r="36" spans="3:6" ht="14.45" customHeight="1" x14ac:dyDescent="0.3">
      <c r="C36" s="10" t="b">
        <f>_xll.PTreeNodeDecision(treeCalc_2!$F$2,5)</f>
        <v>1</v>
      </c>
      <c r="D36" s="11" t="s">
        <v>95</v>
      </c>
      <c r="F36"/>
    </row>
    <row r="37" spans="3:6" ht="14.45" customHeight="1" x14ac:dyDescent="0.3">
      <c r="C37" s="8">
        <v>0</v>
      </c>
      <c r="D37" s="31">
        <f>_xll.PTreeNodeValue(treeCalc_2!$F$2,5)</f>
        <v>3500</v>
      </c>
      <c r="F37"/>
    </row>
    <row r="38" spans="3:6" ht="14.45" customHeight="1" x14ac:dyDescent="0.3">
      <c r="D38" s="12">
        <f>1-$F$7</f>
        <v>0.25</v>
      </c>
      <c r="E38" s="7">
        <f>_xll.PTreeNodeProbability(treeCalc_2!$F$2,14)</f>
        <v>0.25</v>
      </c>
      <c r="F38"/>
    </row>
    <row r="39" spans="3:6" ht="14.45" customHeight="1" x14ac:dyDescent="0.3">
      <c r="D39" s="32">
        <f>170000-$F$6</f>
        <v>20000</v>
      </c>
      <c r="E39" s="29">
        <f>_xll.PTreeNodeValue(treeCalc_2!$F$2,14)</f>
        <v>12500</v>
      </c>
      <c r="F39"/>
    </row>
    <row r="40" spans="3:6" ht="14.45" customHeight="1" x14ac:dyDescent="0.3">
      <c r="E40" s="12">
        <v>0.1</v>
      </c>
      <c r="F40" s="7">
        <f>_xll.PTreeNodeProbability(treeCalc_2!$F$2,16)</f>
        <v>0</v>
      </c>
    </row>
    <row r="41" spans="3:6" ht="14.45" customHeight="1" x14ac:dyDescent="0.3">
      <c r="E41" s="32">
        <f>180000-$F$6</f>
        <v>30000</v>
      </c>
      <c r="F41" s="29">
        <f>_xll.PTreeNodeValue(treeCalc_2!$F$2,16)</f>
        <v>22500</v>
      </c>
    </row>
    <row r="42" spans="3:6" ht="14.45" customHeight="1" x14ac:dyDescent="0.3">
      <c r="D42" s="12">
        <f>$F$7</f>
        <v>0.75</v>
      </c>
      <c r="E42" s="11" t="s">
        <v>96</v>
      </c>
      <c r="F42"/>
    </row>
    <row r="43" spans="3:6" ht="14.45" customHeight="1" x14ac:dyDescent="0.3">
      <c r="D43" s="8">
        <v>0</v>
      </c>
      <c r="E43" s="31">
        <f>_xll.PTreeNodeValue(treeCalc_2!$F$2,15)</f>
        <v>-4500</v>
      </c>
      <c r="F43"/>
    </row>
    <row r="44" spans="3:6" ht="14.45" customHeight="1" x14ac:dyDescent="0.3">
      <c r="E44" s="12">
        <v>0.9</v>
      </c>
      <c r="F44" s="7">
        <f>_xll.PTreeNodeProbability(treeCalc_2!$F$2,17)</f>
        <v>0</v>
      </c>
    </row>
    <row r="45" spans="3:6" ht="14.45" customHeight="1" x14ac:dyDescent="0.25">
      <c r="E45" s="8">
        <v>0</v>
      </c>
      <c r="F45" s="29">
        <f>_xll.PTreeNodeValue(treeCalc_2!$F$2,17)</f>
        <v>-7500</v>
      </c>
    </row>
    <row r="46" spans="3:6" ht="14.45" customHeight="1" x14ac:dyDescent="0.25">
      <c r="C46" s="10" t="b">
        <f>_xll.PTreeNodeDecision(treeCalc_2!$F$2,6)</f>
        <v>0</v>
      </c>
      <c r="D46" s="11" t="s">
        <v>95</v>
      </c>
      <c r="F46"/>
    </row>
    <row r="47" spans="3:6" ht="14.45" customHeight="1" x14ac:dyDescent="0.25">
      <c r="C47" s="8">
        <v>0</v>
      </c>
      <c r="D47" s="31">
        <f>_xll.PTreeNodeValue(treeCalc_2!$F$2,6)</f>
        <v>2250</v>
      </c>
      <c r="F47"/>
    </row>
    <row r="48" spans="3:6" ht="14.45" customHeight="1" x14ac:dyDescent="0.25">
      <c r="D48" s="12">
        <f>1-$F$7</f>
        <v>0.25</v>
      </c>
      <c r="E48" s="7">
        <f>_xll.PTreeNodeProbability(treeCalc_2!$F$2,18)</f>
        <v>0</v>
      </c>
      <c r="F48"/>
    </row>
    <row r="49" spans="1:6" ht="14.45" customHeight="1" x14ac:dyDescent="0.25">
      <c r="D49" s="32">
        <f>180000-$F$6</f>
        <v>30000</v>
      </c>
      <c r="E49" s="29">
        <f>_xll.PTreeNodeValue(treeCalc_2!$F$2,18)</f>
        <v>22500</v>
      </c>
      <c r="F49"/>
    </row>
    <row r="50" spans="1:6" ht="14.45" customHeight="1" x14ac:dyDescent="0.25">
      <c r="A50" s="8"/>
      <c r="B50" s="9" t="s">
        <v>90</v>
      </c>
      <c r="F50"/>
    </row>
    <row r="51" spans="1:6" ht="14.45" customHeight="1" x14ac:dyDescent="0.25">
      <c r="A51" s="8"/>
      <c r="B51" s="30">
        <f>_xll.PTreeNodeValue(treeCalc_2!$F$2,1)</f>
        <v>3500</v>
      </c>
      <c r="F51"/>
    </row>
    <row r="52" spans="1:6" ht="14.45" customHeight="1" x14ac:dyDescent="0.25">
      <c r="B52" s="10" t="b">
        <f>_xll.PTreeNodeDecision(treeCalc_2!$F$2,3)</f>
        <v>0</v>
      </c>
      <c r="C52" s="7">
        <f>_xll.PTreeNodeProbability(treeCalc_2!$F$2,3)</f>
        <v>0</v>
      </c>
      <c r="F52"/>
    </row>
    <row r="53" spans="1:6" ht="14.45" customHeight="1" x14ac:dyDescent="0.25">
      <c r="B53" s="8">
        <v>0</v>
      </c>
      <c r="C53" s="29">
        <f>_xll.PTreeNodeValue(treeCalc_2!$F$2,3)</f>
        <v>0</v>
      </c>
      <c r="F5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58CD-39B1-47F0-972E-E070BF61A0E2}">
  <dimension ref="A1:N14"/>
  <sheetViews>
    <sheetView tabSelected="1" topLeftCell="A3" workbookViewId="0">
      <selection activeCell="A29" sqref="A29"/>
    </sheetView>
  </sheetViews>
  <sheetFormatPr defaultRowHeight="15" x14ac:dyDescent="0.25"/>
  <cols>
    <col min="1" max="1" width="24.5703125" customWidth="1"/>
    <col min="2" max="2" width="22.28515625" customWidth="1"/>
    <col min="3" max="5" width="23.140625" customWidth="1"/>
    <col min="6" max="6" width="23" style="5" customWidth="1"/>
    <col min="7" max="7" width="16.7109375" customWidth="1"/>
  </cols>
  <sheetData>
    <row r="1" spans="1:14" ht="15.75" thickBot="1" x14ac:dyDescent="0.3">
      <c r="A1" s="18" t="s">
        <v>69</v>
      </c>
      <c r="B1" s="18"/>
      <c r="C1" s="18"/>
      <c r="D1" s="18"/>
      <c r="E1" s="18"/>
      <c r="F1" s="27"/>
    </row>
    <row r="4" spans="1:14" ht="15.75" thickBot="1" x14ac:dyDescent="0.3">
      <c r="A4" s="18" t="s">
        <v>70</v>
      </c>
      <c r="B4" s="18"/>
      <c r="C4" s="18"/>
      <c r="D4" s="18"/>
      <c r="E4" s="18"/>
      <c r="F4" s="28"/>
    </row>
    <row r="5" spans="1:14" x14ac:dyDescent="0.25">
      <c r="A5" t="s">
        <v>71</v>
      </c>
      <c r="F5" s="23">
        <v>7500</v>
      </c>
    </row>
    <row r="6" spans="1:14" x14ac:dyDescent="0.25">
      <c r="A6" t="s">
        <v>72</v>
      </c>
      <c r="F6" s="23">
        <v>150000</v>
      </c>
    </row>
    <row r="7" spans="1:14" x14ac:dyDescent="0.25">
      <c r="A7" s="19" t="s">
        <v>73</v>
      </c>
      <c r="B7" s="19"/>
      <c r="C7" s="19"/>
      <c r="D7" s="19"/>
      <c r="E7" s="19"/>
      <c r="F7" s="24">
        <v>0.75</v>
      </c>
    </row>
    <row r="9" spans="1:14" ht="15.75" thickBot="1" x14ac:dyDescent="0.3">
      <c r="A9" s="18" t="s">
        <v>74</v>
      </c>
      <c r="B9" s="18"/>
      <c r="C9" s="18"/>
      <c r="D9" s="18"/>
      <c r="E9" s="18"/>
      <c r="F9" s="28"/>
      <c r="I9" s="18" t="s">
        <v>81</v>
      </c>
      <c r="J9" s="18"/>
      <c r="K9" s="18"/>
      <c r="L9" s="18"/>
      <c r="M9" s="18"/>
      <c r="N9" s="18"/>
    </row>
    <row r="10" spans="1:14" x14ac:dyDescent="0.25">
      <c r="A10" s="20" t="s">
        <v>75</v>
      </c>
      <c r="B10" s="20"/>
      <c r="C10" s="20"/>
      <c r="D10" s="20"/>
      <c r="E10" s="20"/>
      <c r="F10" s="25" t="s">
        <v>76</v>
      </c>
      <c r="I10" s="20" t="s">
        <v>82</v>
      </c>
      <c r="J10" s="20"/>
      <c r="K10" s="20"/>
      <c r="L10" s="20" t="s">
        <v>83</v>
      </c>
      <c r="M10" s="20"/>
      <c r="N10" s="20"/>
    </row>
    <row r="11" spans="1:14" x14ac:dyDescent="0.25">
      <c r="A11" t="s">
        <v>77</v>
      </c>
      <c r="F11" s="26">
        <v>0.2</v>
      </c>
      <c r="I11" s="22">
        <v>160000</v>
      </c>
      <c r="L11" s="21">
        <v>0.8</v>
      </c>
    </row>
    <row r="12" spans="1:14" x14ac:dyDescent="0.25">
      <c r="A12" t="s">
        <v>78</v>
      </c>
      <c r="F12" s="26">
        <v>0.4</v>
      </c>
      <c r="I12" s="22">
        <v>170000</v>
      </c>
      <c r="L12" s="21">
        <v>0.4</v>
      </c>
    </row>
    <row r="13" spans="1:14" x14ac:dyDescent="0.25">
      <c r="A13" t="s">
        <v>79</v>
      </c>
      <c r="F13" s="26">
        <v>0.3</v>
      </c>
      <c r="I13" s="22">
        <v>180000</v>
      </c>
      <c r="L13" s="21">
        <v>0.1</v>
      </c>
    </row>
    <row r="14" spans="1:14" x14ac:dyDescent="0.25">
      <c r="A14" s="19" t="s">
        <v>80</v>
      </c>
      <c r="B14" s="19"/>
      <c r="C14" s="19"/>
      <c r="D14" s="19"/>
      <c r="E14" s="19"/>
      <c r="F14" s="24">
        <v>0.1</v>
      </c>
      <c r="I14" s="19"/>
      <c r="J14" s="19"/>
      <c r="K14" s="19"/>
      <c r="L14" s="19"/>
      <c r="M14" s="19"/>
      <c r="N14"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8"/>
  <sheetViews>
    <sheetView workbookViewId="0"/>
  </sheetViews>
  <sheetFormatPr defaultColWidth="15.7109375" defaultRowHeight="15" x14ac:dyDescent="0.25"/>
  <cols>
    <col min="1" max="16384" width="15.7109375" style="3"/>
  </cols>
  <sheetData>
    <row r="1" spans="1:16" x14ac:dyDescent="0.3">
      <c r="A1" s="3" t="s">
        <v>0</v>
      </c>
      <c r="B1" s="6" t="s">
        <v>89</v>
      </c>
      <c r="E1" s="3" t="s">
        <v>8</v>
      </c>
      <c r="F1" s="3">
        <v>3</v>
      </c>
      <c r="H1" s="3" t="s">
        <v>14</v>
      </c>
      <c r="I1" s="6" t="s">
        <v>40</v>
      </c>
      <c r="K1" s="3" t="s">
        <v>19</v>
      </c>
      <c r="L1" s="3">
        <v>100</v>
      </c>
    </row>
    <row r="2" spans="1:16" x14ac:dyDescent="0.3">
      <c r="A2" s="3" t="s">
        <v>1</v>
      </c>
      <c r="B2" s="3" t="e">
        <f>'Building the model'!#REF!</f>
        <v>#REF!</v>
      </c>
      <c r="E2" s="3" t="s">
        <v>9</v>
      </c>
      <c r="F2" s="3">
        <f>_xll.PTreeEvaluate5(B3,$L$11:$L$28,$J$11:$J$28,$K$11:$K$28,$N$11:$N$28,$G$11:$G$28,,L1)</f>
        <v>3884930</v>
      </c>
    </row>
    <row r="3" spans="1:16" x14ac:dyDescent="0.3">
      <c r="A3" s="3" t="s">
        <v>2</v>
      </c>
      <c r="B3" s="3" t="s">
        <v>88</v>
      </c>
      <c r="E3" s="3" t="s">
        <v>10</v>
      </c>
      <c r="F3" s="6" t="s">
        <v>85</v>
      </c>
      <c r="H3" s="3" t="s">
        <v>15</v>
      </c>
      <c r="I3" s="3" t="s">
        <v>38</v>
      </c>
    </row>
    <row r="4" spans="1:16" x14ac:dyDescent="0.3">
      <c r="A4" s="3" t="s">
        <v>3</v>
      </c>
      <c r="B4" s="3" t="s">
        <v>35</v>
      </c>
      <c r="E4" s="3" t="s">
        <v>11</v>
      </c>
      <c r="F4" s="6" t="s">
        <v>37</v>
      </c>
      <c r="H4" s="3" t="s">
        <v>16</v>
      </c>
      <c r="I4" s="6" t="s">
        <v>39</v>
      </c>
    </row>
    <row r="5" spans="1:16" x14ac:dyDescent="0.3">
      <c r="A5" s="3" t="s">
        <v>4</v>
      </c>
      <c r="B5" s="3">
        <v>0</v>
      </c>
      <c r="E5" s="3" t="s">
        <v>12</v>
      </c>
      <c r="F5" s="6" t="s">
        <v>37</v>
      </c>
      <c r="H5" s="3" t="s">
        <v>17</v>
      </c>
      <c r="I5" s="3" t="s">
        <v>38</v>
      </c>
    </row>
    <row r="6" spans="1:16" x14ac:dyDescent="0.3">
      <c r="A6" s="3" t="s">
        <v>5</v>
      </c>
      <c r="E6" s="3" t="s">
        <v>13</v>
      </c>
      <c r="F6" s="6" t="s">
        <v>103</v>
      </c>
      <c r="H6" s="3" t="s">
        <v>18</v>
      </c>
      <c r="I6" s="6" t="s">
        <v>39</v>
      </c>
    </row>
    <row r="7" spans="1:16" x14ac:dyDescent="0.3">
      <c r="A7" s="3" t="s">
        <v>6</v>
      </c>
      <c r="E7" s="3" t="s">
        <v>87</v>
      </c>
      <c r="F7" s="6" t="s">
        <v>86</v>
      </c>
    </row>
    <row r="8" spans="1:16" x14ac:dyDescent="0.3">
      <c r="A8" s="3" t="s">
        <v>7</v>
      </c>
      <c r="B8" s="3">
        <v>18</v>
      </c>
    </row>
    <row r="10" spans="1:16" x14ac:dyDescent="0.3">
      <c r="A10" s="3" t="s">
        <v>20</v>
      </c>
      <c r="B10" s="3" t="s">
        <v>21</v>
      </c>
      <c r="C10" s="3" t="s">
        <v>22</v>
      </c>
      <c r="D10" s="3" t="s">
        <v>23</v>
      </c>
      <c r="E10" s="3" t="s">
        <v>24</v>
      </c>
      <c r="F10" s="3" t="s">
        <v>25</v>
      </c>
      <c r="G10" s="3" t="s">
        <v>26</v>
      </c>
      <c r="H10" s="3" t="s">
        <v>27</v>
      </c>
      <c r="I10" s="3" t="s">
        <v>28</v>
      </c>
      <c r="J10" s="3" t="s">
        <v>29</v>
      </c>
      <c r="K10" s="3" t="s">
        <v>30</v>
      </c>
      <c r="L10" s="3" t="s">
        <v>2</v>
      </c>
      <c r="M10" s="3" t="s">
        <v>31</v>
      </c>
      <c r="N10" s="3" t="s">
        <v>32</v>
      </c>
      <c r="O10" s="3" t="s">
        <v>33</v>
      </c>
      <c r="P10" s="3" t="s">
        <v>34</v>
      </c>
    </row>
    <row r="11" spans="1:16" x14ac:dyDescent="0.3">
      <c r="A11" s="3">
        <f>'Building the model'!$B$51</f>
        <v>3500</v>
      </c>
      <c r="B11" s="3" t="str">
        <f>B1</f>
        <v>Bidding Decision Model</v>
      </c>
      <c r="C11" s="3">
        <v>0</v>
      </c>
      <c r="I11" s="3" t="s">
        <v>41</v>
      </c>
      <c r="J11" s="3">
        <f>'Building the model'!$A$51</f>
        <v>0</v>
      </c>
      <c r="K11" s="3">
        <f>'Building the model'!$A$50</f>
        <v>0</v>
      </c>
      <c r="L11" s="3" t="s">
        <v>46</v>
      </c>
      <c r="M11" s="6" t="s">
        <v>42</v>
      </c>
      <c r="O11" s="3" t="str">
        <f>'Building the model'!$B$50</f>
        <v>Bid</v>
      </c>
      <c r="P11" s="3" t="b">
        <v>0</v>
      </c>
    </row>
    <row r="12" spans="1:16" x14ac:dyDescent="0.3">
      <c r="A12" s="3">
        <f>'Building the model'!$C$29</f>
        <v>3500</v>
      </c>
      <c r="B12" s="6" t="s">
        <v>47</v>
      </c>
      <c r="C12" s="3">
        <v>0</v>
      </c>
      <c r="I12" s="3" t="s">
        <v>41</v>
      </c>
      <c r="J12" s="3">
        <f>'Building the model'!$B$29</f>
        <v>-7500</v>
      </c>
      <c r="L12" s="3" t="s">
        <v>50</v>
      </c>
      <c r="M12" s="6" t="s">
        <v>42</v>
      </c>
      <c r="O12" s="3" t="str">
        <f>'Building the model'!$C$28</f>
        <v>Amount of Bid</v>
      </c>
      <c r="P12" s="3" t="b">
        <v>0</v>
      </c>
    </row>
    <row r="13" spans="1:16" x14ac:dyDescent="0.3">
      <c r="A13" s="3">
        <f>'Building the model'!$C$53</f>
        <v>0</v>
      </c>
      <c r="B13" s="6" t="s">
        <v>48</v>
      </c>
      <c r="C13" s="3">
        <v>0</v>
      </c>
      <c r="H13" s="3" t="s">
        <v>41</v>
      </c>
      <c r="I13" s="3" t="s">
        <v>41</v>
      </c>
      <c r="J13" s="3">
        <f>'Building the model'!$B$53</f>
        <v>0</v>
      </c>
      <c r="L13" s="3" t="s">
        <v>45</v>
      </c>
      <c r="M13" s="6" t="s">
        <v>42</v>
      </c>
      <c r="P13" s="3" t="b">
        <v>0</v>
      </c>
    </row>
    <row r="14" spans="1:16" x14ac:dyDescent="0.3">
      <c r="A14" s="3">
        <f>'Building the model'!$D$25</f>
        <v>1000</v>
      </c>
      <c r="B14" s="6" t="s">
        <v>92</v>
      </c>
      <c r="C14" s="3">
        <v>0</v>
      </c>
      <c r="I14" s="3" t="s">
        <v>41</v>
      </c>
      <c r="J14" s="3">
        <f>'Building the model'!$C$25</f>
        <v>0</v>
      </c>
      <c r="L14" s="3" t="s">
        <v>56</v>
      </c>
      <c r="M14" s="6" t="s">
        <v>42</v>
      </c>
      <c r="O14" s="3" t="str">
        <f>'Building the model'!$D$24</f>
        <v>Cometing Bid</v>
      </c>
      <c r="P14" s="3" t="b">
        <v>0</v>
      </c>
    </row>
    <row r="15" spans="1:16" x14ac:dyDescent="0.3">
      <c r="A15" s="3">
        <f>'Building the model'!$D$37</f>
        <v>3500</v>
      </c>
      <c r="B15" s="6" t="s">
        <v>93</v>
      </c>
      <c r="C15" s="3">
        <v>0</v>
      </c>
      <c r="I15" s="3" t="s">
        <v>41</v>
      </c>
      <c r="J15" s="3">
        <f>'Building the model'!$C$37</f>
        <v>0</v>
      </c>
      <c r="L15" s="3" t="s">
        <v>97</v>
      </c>
      <c r="M15" s="6" t="s">
        <v>42</v>
      </c>
      <c r="O15" s="3" t="str">
        <f>'Building the model'!$D$36</f>
        <v>Cometing Bid</v>
      </c>
      <c r="P15" s="3" t="b">
        <v>0</v>
      </c>
    </row>
    <row r="16" spans="1:16" x14ac:dyDescent="0.3">
      <c r="A16" s="3">
        <f>'Building the model'!$D$47</f>
        <v>2250</v>
      </c>
      <c r="B16" s="6" t="s">
        <v>94</v>
      </c>
      <c r="C16" s="3">
        <v>0</v>
      </c>
      <c r="I16" s="3" t="s">
        <v>41</v>
      </c>
      <c r="J16" s="3">
        <f>'Building the model'!$C$47</f>
        <v>0</v>
      </c>
      <c r="L16" s="3" t="s">
        <v>100</v>
      </c>
      <c r="M16" s="6" t="s">
        <v>42</v>
      </c>
      <c r="O16" s="3" t="str">
        <f>'Building the model'!$D$46</f>
        <v>Cometing Bid</v>
      </c>
      <c r="P16" s="3" t="b">
        <v>0</v>
      </c>
    </row>
    <row r="17" spans="1:16" x14ac:dyDescent="0.3">
      <c r="A17" s="3">
        <f>'Building the model'!$E$21</f>
        <v>500</v>
      </c>
      <c r="B17" s="6" t="s">
        <v>47</v>
      </c>
      <c r="C17" s="3">
        <v>0</v>
      </c>
      <c r="I17" s="3" t="s">
        <v>41</v>
      </c>
      <c r="J17" s="3">
        <f>'Building the model'!$D$21</f>
        <v>0</v>
      </c>
      <c r="K17" s="3">
        <f>'Building the model'!$D$20</f>
        <v>0.75</v>
      </c>
      <c r="L17" s="3" t="s">
        <v>58</v>
      </c>
      <c r="M17" s="6" t="s">
        <v>42</v>
      </c>
      <c r="O17" s="3" t="str">
        <f>'Building the model'!$E$20</f>
        <v>Outbidding Comps</v>
      </c>
      <c r="P17" s="3" t="b">
        <v>0</v>
      </c>
    </row>
    <row r="18" spans="1:16" x14ac:dyDescent="0.3">
      <c r="A18" s="3">
        <f>'Building the model'!$E$27</f>
        <v>2500</v>
      </c>
      <c r="B18" s="6" t="s">
        <v>48</v>
      </c>
      <c r="C18" s="3">
        <v>0</v>
      </c>
      <c r="H18" s="3" t="s">
        <v>41</v>
      </c>
      <c r="I18" s="3" t="s">
        <v>41</v>
      </c>
      <c r="J18" s="3">
        <f>'Building the model'!$D$27</f>
        <v>10000</v>
      </c>
      <c r="K18" s="3">
        <f>'Building the model'!$D$26</f>
        <v>0.25</v>
      </c>
      <c r="L18" s="3" t="s">
        <v>55</v>
      </c>
      <c r="M18" s="6" t="s">
        <v>42</v>
      </c>
      <c r="P18" s="3" t="b">
        <v>0</v>
      </c>
    </row>
    <row r="19" spans="1:16" x14ac:dyDescent="0.3">
      <c r="A19" s="3">
        <f>'Building the model'!$F$19</f>
        <v>2500</v>
      </c>
      <c r="B19" s="6" t="s">
        <v>47</v>
      </c>
      <c r="C19" s="3">
        <v>0</v>
      </c>
      <c r="H19" s="3" t="s">
        <v>41</v>
      </c>
      <c r="I19" s="3" t="s">
        <v>41</v>
      </c>
      <c r="J19" s="3">
        <f>'Building the model'!$E$19</f>
        <v>10000</v>
      </c>
      <c r="K19" s="3">
        <f>'Building the model'!$E$18</f>
        <v>0.8</v>
      </c>
      <c r="L19" s="3" t="s">
        <v>57</v>
      </c>
      <c r="M19" s="6" t="s">
        <v>42</v>
      </c>
      <c r="P19" s="3" t="b">
        <v>0</v>
      </c>
    </row>
    <row r="20" spans="1:16" x14ac:dyDescent="0.3">
      <c r="A20" s="3">
        <f>'Building the model'!$F$23</f>
        <v>-7500</v>
      </c>
      <c r="B20" s="6" t="s">
        <v>48</v>
      </c>
      <c r="C20" s="3">
        <v>0</v>
      </c>
      <c r="H20" s="3" t="s">
        <v>41</v>
      </c>
      <c r="I20" s="3" t="s">
        <v>41</v>
      </c>
      <c r="J20" s="3">
        <f>'Building the model'!$E$23</f>
        <v>0</v>
      </c>
      <c r="K20" s="3">
        <f>'Building the model'!$E$22</f>
        <v>0.2</v>
      </c>
      <c r="L20" s="3" t="s">
        <v>57</v>
      </c>
      <c r="M20" s="6" t="s">
        <v>42</v>
      </c>
      <c r="P20" s="3" t="b">
        <v>0</v>
      </c>
    </row>
    <row r="21" spans="1:16" x14ac:dyDescent="0.3">
      <c r="A21" s="3">
        <f>'Building the model'!$E$33</f>
        <v>500</v>
      </c>
      <c r="B21" s="6" t="s">
        <v>47</v>
      </c>
      <c r="C21" s="3">
        <v>0</v>
      </c>
      <c r="I21" s="3" t="s">
        <v>41</v>
      </c>
      <c r="J21" s="3">
        <f>'Building the model'!$D$33</f>
        <v>0</v>
      </c>
      <c r="K21" s="3">
        <f>'Building the model'!$D$32</f>
        <v>0.75</v>
      </c>
      <c r="L21" s="3" t="s">
        <v>98</v>
      </c>
      <c r="M21" s="6" t="s">
        <v>42</v>
      </c>
      <c r="O21" s="3" t="str">
        <f>'Building the model'!$E$32</f>
        <v>Outbidding Comps</v>
      </c>
      <c r="P21" s="3" t="b">
        <v>0</v>
      </c>
    </row>
    <row r="22" spans="1:16" x14ac:dyDescent="0.3">
      <c r="A22" s="3">
        <f>'Building the model'!$F$31</f>
        <v>12500</v>
      </c>
      <c r="B22" s="6" t="s">
        <v>47</v>
      </c>
      <c r="C22" s="3">
        <v>0</v>
      </c>
      <c r="H22" s="3" t="s">
        <v>41</v>
      </c>
      <c r="I22" s="3" t="s">
        <v>41</v>
      </c>
      <c r="J22" s="3">
        <f>'Building the model'!$E$31</f>
        <v>20000</v>
      </c>
      <c r="K22" s="3">
        <f>'Building the model'!$E$30</f>
        <v>0.4</v>
      </c>
      <c r="L22" s="3" t="s">
        <v>99</v>
      </c>
      <c r="M22" s="6" t="s">
        <v>42</v>
      </c>
      <c r="P22" s="3" t="b">
        <v>0</v>
      </c>
    </row>
    <row r="23" spans="1:16" x14ac:dyDescent="0.3">
      <c r="A23" s="3">
        <f>'Building the model'!$F$35</f>
        <v>-7500</v>
      </c>
      <c r="B23" s="6" t="s">
        <v>48</v>
      </c>
      <c r="C23" s="3">
        <v>0</v>
      </c>
      <c r="H23" s="3" t="s">
        <v>41</v>
      </c>
      <c r="I23" s="3" t="s">
        <v>41</v>
      </c>
      <c r="J23" s="3">
        <f>'Building the model'!$E$35</f>
        <v>0</v>
      </c>
      <c r="K23" s="3">
        <f>'Building the model'!$E$34</f>
        <v>0.6</v>
      </c>
      <c r="L23" s="3" t="s">
        <v>99</v>
      </c>
      <c r="M23" s="6" t="s">
        <v>42</v>
      </c>
      <c r="P23" s="3" t="b">
        <v>0</v>
      </c>
    </row>
    <row r="24" spans="1:16" x14ac:dyDescent="0.3">
      <c r="A24" s="3">
        <f>'Building the model'!$E$39</f>
        <v>12500</v>
      </c>
      <c r="B24" s="6" t="s">
        <v>48</v>
      </c>
      <c r="C24" s="3">
        <v>0</v>
      </c>
      <c r="H24" s="3" t="s">
        <v>41</v>
      </c>
      <c r="I24" s="3" t="s">
        <v>41</v>
      </c>
      <c r="J24" s="3">
        <f>'Building the model'!$D$39</f>
        <v>20000</v>
      </c>
      <c r="K24" s="3">
        <f>'Building the model'!$D$38</f>
        <v>0.25</v>
      </c>
      <c r="L24" s="3" t="s">
        <v>61</v>
      </c>
      <c r="M24" s="6" t="s">
        <v>42</v>
      </c>
      <c r="P24" s="3" t="b">
        <v>0</v>
      </c>
    </row>
    <row r="25" spans="1:16" x14ac:dyDescent="0.3">
      <c r="A25" s="3">
        <f>'Building the model'!$E$43</f>
        <v>-4500</v>
      </c>
      <c r="B25" s="6" t="s">
        <v>47</v>
      </c>
      <c r="C25" s="3">
        <v>0</v>
      </c>
      <c r="I25" s="3" t="s">
        <v>41</v>
      </c>
      <c r="J25" s="3">
        <f>'Building the model'!$D$43</f>
        <v>0</v>
      </c>
      <c r="K25" s="3">
        <f>'Building the model'!$D$42</f>
        <v>0.75</v>
      </c>
      <c r="L25" s="3" t="s">
        <v>101</v>
      </c>
      <c r="M25" s="6" t="s">
        <v>42</v>
      </c>
      <c r="O25" s="3" t="str">
        <f>'Building the model'!$E$42</f>
        <v>Outbidding Comps</v>
      </c>
      <c r="P25" s="3" t="b">
        <v>0</v>
      </c>
    </row>
    <row r="26" spans="1:16" x14ac:dyDescent="0.3">
      <c r="A26" s="3">
        <f>'Building the model'!$F$41</f>
        <v>22500</v>
      </c>
      <c r="B26" s="6" t="s">
        <v>47</v>
      </c>
      <c r="C26" s="3">
        <v>0</v>
      </c>
      <c r="H26" s="3" t="s">
        <v>41</v>
      </c>
      <c r="I26" s="3" t="s">
        <v>41</v>
      </c>
      <c r="J26" s="3">
        <f>'Building the model'!$E$41</f>
        <v>30000</v>
      </c>
      <c r="K26" s="3">
        <f>'Building the model'!$E$40</f>
        <v>0.1</v>
      </c>
      <c r="L26" s="3" t="s">
        <v>102</v>
      </c>
      <c r="M26" s="6" t="s">
        <v>42</v>
      </c>
      <c r="P26" s="3" t="b">
        <v>0</v>
      </c>
    </row>
    <row r="27" spans="1:16" x14ac:dyDescent="0.3">
      <c r="A27" s="3">
        <f>'Building the model'!$F$45</f>
        <v>-7500</v>
      </c>
      <c r="B27" s="6" t="s">
        <v>48</v>
      </c>
      <c r="C27" s="3">
        <v>0</v>
      </c>
      <c r="H27" s="3" t="s">
        <v>41</v>
      </c>
      <c r="I27" s="3" t="s">
        <v>41</v>
      </c>
      <c r="J27" s="3">
        <f>'Building the model'!$E$45</f>
        <v>0</v>
      </c>
      <c r="K27" s="3">
        <f>'Building the model'!$E$44</f>
        <v>0.9</v>
      </c>
      <c r="L27" s="3" t="s">
        <v>102</v>
      </c>
      <c r="M27" s="6" t="s">
        <v>42</v>
      </c>
      <c r="P27" s="3" t="b">
        <v>0</v>
      </c>
    </row>
    <row r="28" spans="1:16" x14ac:dyDescent="0.3">
      <c r="A28" s="3">
        <f>'Building the model'!$E$49</f>
        <v>22500</v>
      </c>
      <c r="B28" s="6" t="s">
        <v>48</v>
      </c>
      <c r="C28" s="3">
        <v>0</v>
      </c>
      <c r="H28" s="3" t="s">
        <v>41</v>
      </c>
      <c r="I28" s="3" t="s">
        <v>41</v>
      </c>
      <c r="J28" s="3">
        <f>'Building the model'!$D$49</f>
        <v>30000</v>
      </c>
      <c r="K28" s="3">
        <f>'Building the model'!$D$48</f>
        <v>0.25</v>
      </c>
      <c r="L28" s="3" t="s">
        <v>64</v>
      </c>
      <c r="M28" s="6" t="s">
        <v>42</v>
      </c>
      <c r="P28" s="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Model</vt:lpstr>
      <vt:lpstr>treeCalc_1</vt:lpstr>
      <vt:lpstr>Building the model</vt:lpstr>
      <vt:lpstr>ClassDemo</vt:lpstr>
      <vt:lpstr>treeCalc_2</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Rahaman</cp:lastModifiedBy>
  <dcterms:created xsi:type="dcterms:W3CDTF">2011-09-08T17:35:54Z</dcterms:created>
  <dcterms:modified xsi:type="dcterms:W3CDTF">2023-03-22T00:03:22Z</dcterms:modified>
</cp:coreProperties>
</file>