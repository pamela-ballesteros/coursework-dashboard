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Course Materials\SMU2022_2023\MBAN\Lecture Notes\Finanical Modelling and Forecasting\"/>
    </mc:Choice>
  </mc:AlternateContent>
  <xr:revisionPtr revIDLastSave="0" documentId="13_ncr:1_{8EA60324-CD5C-463A-811C-E44A683EFF5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Bootstrap" sheetId="1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12</definedName>
    <definedName name="_AtRisk_SimSetting_MultipleCPUMode" hidden="1">1</definedName>
    <definedName name="_AtRisk_SimSetting_MultipleCPUModeV8" hidden="1">1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Lookup">Bootstrap!$A$3:$H$64</definedName>
    <definedName name="Pal_Workbook_GUID" hidden="1">"IJWFBT27Y1L7KBZIW9QMSI53"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"$I$135"</definedName>
    <definedName name="RiskSelectedNameCell1" hidden="1">"$I$134"</definedName>
    <definedName name="RiskSelectedNameCell2" hidden="1">"$L$6"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L56" i="1"/>
  <c r="L47" i="1"/>
  <c r="L22" i="1"/>
  <c r="L11" i="1"/>
  <c r="L12" i="1"/>
  <c r="L24" i="1"/>
  <c r="L36" i="1"/>
  <c r="L48" i="1"/>
  <c r="L60" i="1"/>
  <c r="L72" i="1"/>
  <c r="L84" i="1"/>
  <c r="L96" i="1"/>
  <c r="L108" i="1"/>
  <c r="L120" i="1"/>
  <c r="L132" i="1"/>
  <c r="L13" i="1"/>
  <c r="L25" i="1"/>
  <c r="L37" i="1"/>
  <c r="L49" i="1"/>
  <c r="L61" i="1"/>
  <c r="L73" i="1"/>
  <c r="L85" i="1"/>
  <c r="L97" i="1"/>
  <c r="L109" i="1"/>
  <c r="L121" i="1"/>
  <c r="L133" i="1"/>
  <c r="L98" i="1"/>
  <c r="L122" i="1"/>
  <c r="L27" i="1"/>
  <c r="L39" i="1"/>
  <c r="L51" i="1"/>
  <c r="L63" i="1"/>
  <c r="L75" i="1"/>
  <c r="L87" i="1"/>
  <c r="L99" i="1"/>
  <c r="L111" i="1"/>
  <c r="L123" i="1"/>
  <c r="L16" i="1"/>
  <c r="L28" i="1"/>
  <c r="L40" i="1"/>
  <c r="L64" i="1"/>
  <c r="L76" i="1"/>
  <c r="L88" i="1"/>
  <c r="L100" i="1"/>
  <c r="L112" i="1"/>
  <c r="L124" i="1"/>
  <c r="L29" i="1"/>
  <c r="L41" i="1"/>
  <c r="L53" i="1"/>
  <c r="L65" i="1"/>
  <c r="L77" i="1"/>
  <c r="L89" i="1"/>
  <c r="L101" i="1"/>
  <c r="L113" i="1"/>
  <c r="L125" i="1"/>
  <c r="L35" i="1"/>
  <c r="L83" i="1"/>
  <c r="L107" i="1"/>
  <c r="L131" i="1"/>
  <c r="L14" i="1"/>
  <c r="L26" i="1"/>
  <c r="L38" i="1"/>
  <c r="L50" i="1"/>
  <c r="L62" i="1"/>
  <c r="L74" i="1"/>
  <c r="L86" i="1"/>
  <c r="L110" i="1"/>
  <c r="L52" i="1"/>
  <c r="L59" i="1"/>
  <c r="L15" i="1"/>
  <c r="L17" i="1"/>
  <c r="L18" i="1"/>
  <c r="L30" i="1"/>
  <c r="L42" i="1"/>
  <c r="L54" i="1"/>
  <c r="L66" i="1"/>
  <c r="L78" i="1"/>
  <c r="L90" i="1"/>
  <c r="L102" i="1"/>
  <c r="L114" i="1"/>
  <c r="L126" i="1"/>
  <c r="L19" i="1"/>
  <c r="L31" i="1"/>
  <c r="L43" i="1"/>
  <c r="L55" i="1"/>
  <c r="L67" i="1"/>
  <c r="L79" i="1"/>
  <c r="L91" i="1"/>
  <c r="L103" i="1"/>
  <c r="L115" i="1"/>
  <c r="L127" i="1"/>
  <c r="L8" i="1"/>
  <c r="M8" i="1" s="1"/>
  <c r="L20" i="1"/>
  <c r="L32" i="1"/>
  <c r="L44" i="1"/>
  <c r="L68" i="1"/>
  <c r="L80" i="1"/>
  <c r="L92" i="1"/>
  <c r="L104" i="1"/>
  <c r="L116" i="1"/>
  <c r="L128" i="1"/>
  <c r="L9" i="1"/>
  <c r="L21" i="1"/>
  <c r="L33" i="1"/>
  <c r="L45" i="1"/>
  <c r="L57" i="1"/>
  <c r="L69" i="1"/>
  <c r="L81" i="1"/>
  <c r="L93" i="1"/>
  <c r="L105" i="1"/>
  <c r="L117" i="1"/>
  <c r="L129" i="1"/>
  <c r="L10" i="1"/>
  <c r="L34" i="1"/>
  <c r="L46" i="1"/>
  <c r="L58" i="1"/>
  <c r="L70" i="1"/>
  <c r="L82" i="1"/>
  <c r="L94" i="1"/>
  <c r="L106" i="1"/>
  <c r="L118" i="1"/>
  <c r="L130" i="1"/>
  <c r="L23" i="1"/>
  <c r="L71" i="1"/>
  <c r="L95" i="1"/>
  <c r="L119" i="1"/>
  <c r="M9" i="1" l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O8" i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N8" i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I135" i="1"/>
</calcChain>
</file>

<file path=xl/sharedStrings.xml><?xml version="1.0" encoding="utf-8"?>
<sst xmlns="http://schemas.openxmlformats.org/spreadsheetml/2006/main" count="14" uniqueCount="11">
  <si>
    <t>Date</t>
  </si>
  <si>
    <t>MSFT</t>
  </si>
  <si>
    <t>Ford</t>
  </si>
  <si>
    <t>Pfizer</t>
  </si>
  <si>
    <t>MSFT R</t>
  </si>
  <si>
    <t>Ford R</t>
  </si>
  <si>
    <t>Pfizer R</t>
  </si>
  <si>
    <t>Return</t>
  </si>
  <si>
    <t>Weights</t>
  </si>
  <si>
    <t>Total return</t>
  </si>
  <si>
    <t>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</si>
</sst>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00"/>
  </numFmts>
  <fonts count="6" x14ac:knownFonts="1">
    <font>
      <sz val="10"/>
      <name val="Arial"/>
    </font>
    <font>
      <sz val="10"/>
      <name val="Arial"/>
      <family val="2"/>
    </font>
    <font>
      <sz val="14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rgb="FFFF0000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11" fontId="0" fillId="0" borderId="0" xfId="0" applyNumberFormat="1"/>
    <xf numFmtId="0" fontId="2" fillId="0" borderId="0" xfId="0" applyFont="1"/>
    <xf numFmtId="11" fontId="2" fillId="0" borderId="0" xfId="0" applyNumberFormat="1" applyFont="1"/>
    <xf numFmtId="15" fontId="3" fillId="3" borderId="0" xfId="0" applyNumberFormat="1" applyFont="1" applyFill="1" applyAlignment="1">
      <alignment horizontal="center"/>
    </xf>
    <xf numFmtId="0" fontId="3" fillId="3" borderId="2" xfId="0" applyFont="1" applyFill="1" applyBorder="1"/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/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4" fillId="2" borderId="0" xfId="0" applyFont="1" applyFill="1"/>
    <xf numFmtId="0" fontId="3" fillId="0" borderId="1" xfId="0" applyFont="1" applyBorder="1"/>
    <xf numFmtId="164" fontId="4" fillId="0" borderId="0" xfId="1" applyFont="1"/>
    <xf numFmtId="15" fontId="3" fillId="0" borderId="0" xfId="0" applyNumberFormat="1" applyFont="1" applyAlignment="1">
      <alignment horizontal="center"/>
    </xf>
    <xf numFmtId="0" fontId="5" fillId="7" borderId="0" xfId="0" applyFont="1" applyFill="1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/>
    <xf numFmtId="11" fontId="3" fillId="0" borderId="0" xfId="0" applyNumberFormat="1" applyFont="1" applyAlignment="1">
      <alignment horizontal="center"/>
    </xf>
    <xf numFmtId="11" fontId="3" fillId="0" borderId="0" xfId="0" applyNumberFormat="1" applyFont="1"/>
    <xf numFmtId="2" fontId="3" fillId="4" borderId="0" xfId="0" applyNumberFormat="1" applyFont="1" applyFill="1" applyAlignment="1">
      <alignment horizontal="center"/>
    </xf>
    <xf numFmtId="2" fontId="3" fillId="4" borderId="2" xfId="0" applyNumberFormat="1" applyFont="1" applyFill="1" applyBorder="1" applyAlignment="1">
      <alignment horizontal="center"/>
    </xf>
    <xf numFmtId="165" fontId="3" fillId="6" borderId="0" xfId="0" applyNumberFormat="1" applyFont="1" applyFill="1" applyAlignment="1">
      <alignment horizontal="center"/>
    </xf>
    <xf numFmtId="165" fontId="3" fillId="6" borderId="2" xfId="0" applyNumberFormat="1" applyFont="1" applyFill="1" applyBorder="1" applyAlignment="1">
      <alignment horizontal="center"/>
    </xf>
    <xf numFmtId="2" fontId="3" fillId="0" borderId="0" xfId="0" applyNumberFormat="1" applyFont="1"/>
    <xf numFmtId="2" fontId="4" fillId="0" borderId="0" xfId="0" applyNumberFormat="1" applyFont="1"/>
    <xf numFmtId="165" fontId="5" fillId="7" borderId="0" xfId="0" applyNumberFormat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6"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C568"/>
  <sheetViews>
    <sheetView tabSelected="1" zoomScale="120" zoomScaleNormal="120" workbookViewId="0">
      <selection activeCell="I1" sqref="I1"/>
    </sheetView>
  </sheetViews>
  <sheetFormatPr defaultRowHeight="18" x14ac:dyDescent="0.25"/>
  <cols>
    <col min="1" max="1" width="9.140625" style="10"/>
    <col min="2" max="2" width="14.42578125" style="13" bestFit="1" customWidth="1"/>
    <col min="3" max="5" width="9.140625" style="13"/>
    <col min="6" max="6" width="9.28515625" style="13" bestFit="1" customWidth="1"/>
    <col min="7" max="7" width="8.42578125" style="13" bestFit="1" customWidth="1"/>
    <col min="8" max="8" width="9.5703125" style="13" bestFit="1" customWidth="1"/>
    <col min="9" max="9" width="12.5703125" style="13" bestFit="1" customWidth="1"/>
    <col min="10" max="11" width="9.140625" style="10"/>
    <col min="12" max="12" width="9.5703125" style="10" bestFit="1" customWidth="1"/>
    <col min="13" max="15" width="10.28515625" style="10" bestFit="1" customWidth="1"/>
    <col min="16" max="16" width="9.140625" style="2"/>
  </cols>
  <sheetData>
    <row r="1" spans="1:15" x14ac:dyDescent="0.25">
      <c r="A1" s="5"/>
      <c r="B1" s="6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9"/>
    </row>
    <row r="2" spans="1:15" x14ac:dyDescent="0.25">
      <c r="A2" s="11"/>
      <c r="B2" s="4">
        <v>43950</v>
      </c>
      <c r="C2" s="24">
        <v>90.875</v>
      </c>
      <c r="D2" s="24">
        <v>44.728700000000003</v>
      </c>
      <c r="E2" s="24">
        <v>37.925899999999999</v>
      </c>
      <c r="F2" s="12"/>
      <c r="G2" s="12"/>
      <c r="H2" s="12"/>
    </row>
    <row r="3" spans="1:15" x14ac:dyDescent="0.25">
      <c r="A3" s="11">
        <v>1</v>
      </c>
      <c r="B3" s="4">
        <v>43951</v>
      </c>
      <c r="C3" s="24">
        <v>88.5625</v>
      </c>
      <c r="D3" s="24">
        <v>46.691600000000001</v>
      </c>
      <c r="E3" s="24">
        <v>39.672400000000003</v>
      </c>
      <c r="F3" s="26">
        <f>(C3-C2)/C2</f>
        <v>-2.5447042640990371E-2</v>
      </c>
      <c r="G3" s="26">
        <f>(D3-D2)/D2</f>
        <v>4.3884575227985556E-2</v>
      </c>
      <c r="H3" s="26">
        <f>(E3-E2)/E2</f>
        <v>4.6050324448464103E-2</v>
      </c>
    </row>
    <row r="4" spans="1:15" x14ac:dyDescent="0.25">
      <c r="A4" s="11">
        <v>2</v>
      </c>
      <c r="B4" s="4">
        <v>43952</v>
      </c>
      <c r="C4" s="24">
        <v>86.375</v>
      </c>
      <c r="D4" s="24">
        <v>46.929499999999997</v>
      </c>
      <c r="E4" s="24">
        <v>38.549599999999998</v>
      </c>
      <c r="F4" s="26">
        <f t="shared" ref="F4:F64" si="0">(C4-C3)/C3</f>
        <v>-2.4700070571630206E-2</v>
      </c>
      <c r="G4" s="26">
        <f t="shared" ref="G4:G64" si="1">(D4-D3)/D3</f>
        <v>5.0951348850756068E-3</v>
      </c>
      <c r="H4" s="26">
        <f t="shared" ref="H4:H64" si="2">(E4-E3)/E3</f>
        <v>-2.830179167380862E-2</v>
      </c>
      <c r="K4" s="14"/>
      <c r="L4" s="14"/>
      <c r="M4" s="14"/>
      <c r="N4" s="14"/>
      <c r="O4" s="14"/>
    </row>
    <row r="5" spans="1:15" x14ac:dyDescent="0.25">
      <c r="A5" s="11">
        <v>3</v>
      </c>
      <c r="B5" s="4">
        <v>43953</v>
      </c>
      <c r="C5" s="24">
        <v>86</v>
      </c>
      <c r="D5" s="24">
        <v>47.524299999999997</v>
      </c>
      <c r="E5" s="24">
        <v>38.3001</v>
      </c>
      <c r="F5" s="26">
        <f t="shared" si="0"/>
        <v>-4.3415340086830683E-3</v>
      </c>
      <c r="G5" s="26">
        <f t="shared" si="1"/>
        <v>1.2674330644903512E-2</v>
      </c>
      <c r="H5" s="26">
        <f t="shared" si="2"/>
        <v>-6.4721812937098598E-3</v>
      </c>
      <c r="K5" s="15"/>
      <c r="L5" s="15"/>
      <c r="M5" s="15">
        <v>6</v>
      </c>
      <c r="N5" s="15">
        <v>7</v>
      </c>
      <c r="O5" s="15">
        <v>8</v>
      </c>
    </row>
    <row r="6" spans="1:15" x14ac:dyDescent="0.25">
      <c r="A6" s="11">
        <v>4</v>
      </c>
      <c r="B6" s="4">
        <v>43954</v>
      </c>
      <c r="C6" s="24">
        <v>89.0625</v>
      </c>
      <c r="D6" s="24">
        <v>45.799399999999999</v>
      </c>
      <c r="E6" s="24">
        <v>38.736800000000002</v>
      </c>
      <c r="F6" s="26">
        <f t="shared" si="0"/>
        <v>3.5610465116279071E-2</v>
      </c>
      <c r="G6" s="26">
        <f t="shared" si="1"/>
        <v>-3.6295116393087287E-2</v>
      </c>
      <c r="H6" s="26">
        <f t="shared" si="2"/>
        <v>1.1402059002456961E-2</v>
      </c>
      <c r="K6" s="16"/>
      <c r="L6" s="16" t="s">
        <v>10</v>
      </c>
      <c r="M6" s="16" t="s">
        <v>1</v>
      </c>
      <c r="N6" s="16" t="s">
        <v>2</v>
      </c>
      <c r="O6" s="16" t="s">
        <v>3</v>
      </c>
    </row>
    <row r="7" spans="1:15" x14ac:dyDescent="0.25">
      <c r="A7" s="11">
        <v>5</v>
      </c>
      <c r="B7" s="4">
        <v>43955</v>
      </c>
      <c r="C7" s="24">
        <v>86.0625</v>
      </c>
      <c r="D7" s="24">
        <v>48.594900000000003</v>
      </c>
      <c r="E7" s="24">
        <v>39.7348</v>
      </c>
      <c r="F7" s="26">
        <f t="shared" si="0"/>
        <v>-3.3684210526315789E-2</v>
      </c>
      <c r="G7" s="26">
        <f t="shared" si="1"/>
        <v>6.1037917527303941E-2</v>
      </c>
      <c r="H7" s="26">
        <f t="shared" si="2"/>
        <v>2.576361496045098E-2</v>
      </c>
      <c r="M7" s="17">
        <v>79.44</v>
      </c>
      <c r="N7" s="17">
        <v>43.38</v>
      </c>
      <c r="O7" s="17">
        <v>50.56</v>
      </c>
    </row>
    <row r="8" spans="1:15" x14ac:dyDescent="0.25">
      <c r="A8" s="11">
        <v>6</v>
      </c>
      <c r="B8" s="4">
        <v>43956</v>
      </c>
      <c r="C8" s="24">
        <v>83.875</v>
      </c>
      <c r="D8" s="24">
        <v>49.427599999999998</v>
      </c>
      <c r="E8" s="24">
        <v>39.7348</v>
      </c>
      <c r="F8" s="26">
        <f t="shared" si="0"/>
        <v>-2.5417574437182282E-2</v>
      </c>
      <c r="G8" s="26">
        <f t="shared" si="1"/>
        <v>1.7135543030235591E-2</v>
      </c>
      <c r="H8" s="26">
        <f t="shared" si="2"/>
        <v>0</v>
      </c>
      <c r="K8" s="10">
        <v>1</v>
      </c>
      <c r="L8" s="10">
        <f ca="1">_xll.RiskDuniform($A$3:$A$64)</f>
        <v>40</v>
      </c>
      <c r="M8" s="28">
        <f ca="1">M7*(1+VLOOKUP(L8,Lookup,M$5))</f>
        <v>78.421538461538461</v>
      </c>
      <c r="N8" s="28">
        <f t="shared" ref="N8:N39" ca="1" si="3">N7*(1+VLOOKUP(L8,Lookup,N$5))</f>
        <v>42.937904964027254</v>
      </c>
      <c r="O8" s="28">
        <f t="shared" ref="O8:O39" ca="1" si="4">O7*(1+VLOOKUP(L8,Lookup,O$5))</f>
        <v>50.917567185289954</v>
      </c>
    </row>
    <row r="9" spans="1:15" x14ac:dyDescent="0.25">
      <c r="A9" s="11">
        <v>7</v>
      </c>
      <c r="B9" s="4">
        <v>43957</v>
      </c>
      <c r="C9" s="24">
        <v>79.375</v>
      </c>
      <c r="D9" s="24">
        <v>51.0336</v>
      </c>
      <c r="E9" s="24">
        <v>40.296199999999999</v>
      </c>
      <c r="F9" s="26">
        <f t="shared" si="0"/>
        <v>-5.3651266766020868E-2</v>
      </c>
      <c r="G9" s="26">
        <f t="shared" si="1"/>
        <v>3.249196805023917E-2</v>
      </c>
      <c r="H9" s="26">
        <f t="shared" si="2"/>
        <v>1.4128673102670682E-2</v>
      </c>
      <c r="K9" s="10">
        <v>2</v>
      </c>
      <c r="L9" s="10">
        <f ca="1">_xll.RiskDuniform($A$3:$A$64)</f>
        <v>7</v>
      </c>
      <c r="M9" s="28">
        <f t="shared" ref="M9:M72" ca="1" si="5">M8*(1+VLOOKUP(L9,Lookup,M$5))</f>
        <v>74.214123581336693</v>
      </c>
      <c r="N9" s="28">
        <f t="shared" ca="1" si="3"/>
        <v>44.33304200026263</v>
      </c>
      <c r="O9" s="28">
        <f t="shared" ca="1" si="4"/>
        <v>51.636964847234182</v>
      </c>
    </row>
    <row r="10" spans="1:15" x14ac:dyDescent="0.25">
      <c r="A10" s="11">
        <v>8</v>
      </c>
      <c r="B10" s="4">
        <v>43958</v>
      </c>
      <c r="C10" s="24">
        <v>79.25</v>
      </c>
      <c r="D10" s="24">
        <v>51.806800000000003</v>
      </c>
      <c r="E10" s="24">
        <v>39.547699999999999</v>
      </c>
      <c r="F10" s="26">
        <f t="shared" si="0"/>
        <v>-1.5748031496062992E-3</v>
      </c>
      <c r="G10" s="26">
        <f t="shared" si="1"/>
        <v>1.5150802608477607E-2</v>
      </c>
      <c r="H10" s="26">
        <f t="shared" si="2"/>
        <v>-1.8574952476908491E-2</v>
      </c>
      <c r="K10" s="10">
        <v>3</v>
      </c>
      <c r="L10" s="10">
        <f ca="1">_xll.RiskDuniform($A$3:$A$64)</f>
        <v>15</v>
      </c>
      <c r="M10" s="28">
        <f t="shared" ca="1" si="5"/>
        <v>77.277370708521332</v>
      </c>
      <c r="N10" s="28">
        <f t="shared" ca="1" si="3"/>
        <v>44.082571408959943</v>
      </c>
      <c r="O10" s="28">
        <f t="shared" ca="1" si="4"/>
        <v>51.562747659977504</v>
      </c>
    </row>
    <row r="11" spans="1:15" x14ac:dyDescent="0.25">
      <c r="A11" s="11">
        <v>9</v>
      </c>
      <c r="B11" s="4">
        <v>43959</v>
      </c>
      <c r="C11" s="24">
        <v>74.125</v>
      </c>
      <c r="D11" s="24">
        <v>49.725000000000001</v>
      </c>
      <c r="E11" s="24">
        <v>37.863500000000002</v>
      </c>
      <c r="F11" s="26">
        <f t="shared" si="0"/>
        <v>-6.4668769716088328E-2</v>
      </c>
      <c r="G11" s="26">
        <f t="shared" si="1"/>
        <v>-4.018391408077706E-2</v>
      </c>
      <c r="H11" s="26">
        <f t="shared" si="2"/>
        <v>-4.2586547384550734E-2</v>
      </c>
      <c r="K11" s="10">
        <v>4</v>
      </c>
      <c r="L11" s="10">
        <f ca="1">_xll.RiskDuniform($A$3:$A$64)</f>
        <v>34</v>
      </c>
      <c r="M11" s="28">
        <f t="shared" ca="1" si="5"/>
        <v>76.238097711480705</v>
      </c>
      <c r="N11" s="28">
        <f t="shared" ca="1" si="3"/>
        <v>42.27805887372179</v>
      </c>
      <c r="O11" s="28">
        <f t="shared" ca="1" si="4"/>
        <v>51.271020657657971</v>
      </c>
    </row>
    <row r="12" spans="1:15" hidden="1" x14ac:dyDescent="0.25">
      <c r="A12" s="11">
        <v>10</v>
      </c>
      <c r="B12" s="4">
        <v>43960</v>
      </c>
      <c r="C12" s="24">
        <v>75.875</v>
      </c>
      <c r="D12" s="24">
        <v>54.305</v>
      </c>
      <c r="E12" s="24">
        <v>37.925899999999999</v>
      </c>
      <c r="F12" s="26">
        <f t="shared" si="0"/>
        <v>2.3608768971332208E-2</v>
      </c>
      <c r="G12" s="26">
        <f t="shared" si="1"/>
        <v>9.2106586224233247E-2</v>
      </c>
      <c r="H12" s="26">
        <f t="shared" si="2"/>
        <v>1.648025142947606E-3</v>
      </c>
      <c r="K12" s="10">
        <v>5</v>
      </c>
      <c r="L12" s="10">
        <f ca="1">_xll.RiskDuniform($A$3:$A$64)</f>
        <v>35</v>
      </c>
      <c r="M12" s="28">
        <f t="shared" ca="1" si="5"/>
        <v>75.050357143434269</v>
      </c>
      <c r="N12" s="28">
        <f t="shared" ca="1" si="3"/>
        <v>42.381134608788699</v>
      </c>
      <c r="O12" s="28">
        <f t="shared" ca="1" si="4"/>
        <v>51.562747659977504</v>
      </c>
    </row>
    <row r="13" spans="1:15" hidden="1" x14ac:dyDescent="0.25">
      <c r="A13" s="11">
        <v>11</v>
      </c>
      <c r="B13" s="4">
        <v>43961</v>
      </c>
      <c r="C13" s="24">
        <v>80.5625</v>
      </c>
      <c r="D13" s="24">
        <v>52.698999999999998</v>
      </c>
      <c r="E13" s="24">
        <v>39.485300000000002</v>
      </c>
      <c r="F13" s="26">
        <f t="shared" si="0"/>
        <v>6.1779242174629323E-2</v>
      </c>
      <c r="G13" s="26">
        <f t="shared" si="1"/>
        <v>-2.9573704078814135E-2</v>
      </c>
      <c r="H13" s="26">
        <f t="shared" si="2"/>
        <v>4.1117020294838193E-2</v>
      </c>
      <c r="K13" s="10">
        <v>6</v>
      </c>
      <c r="L13" s="10">
        <f ca="1">_xll.RiskDuniform($A$3:$A$64)</f>
        <v>42</v>
      </c>
      <c r="M13" s="28">
        <f t="shared" ca="1" si="5"/>
        <v>77.084635943062693</v>
      </c>
      <c r="N13" s="28">
        <f t="shared" ca="1" si="3"/>
        <v>42.809233181103707</v>
      </c>
      <c r="O13" s="28">
        <f t="shared" ca="1" si="4"/>
        <v>49.915604331950448</v>
      </c>
    </row>
    <row r="14" spans="1:15" hidden="1" x14ac:dyDescent="0.25">
      <c r="A14" s="11">
        <v>12</v>
      </c>
      <c r="B14" s="4">
        <v>43962</v>
      </c>
      <c r="C14" s="24">
        <v>78.6875</v>
      </c>
      <c r="D14" s="24">
        <v>52.342100000000002</v>
      </c>
      <c r="E14" s="24">
        <v>41.231900000000003</v>
      </c>
      <c r="F14" s="26">
        <f t="shared" si="0"/>
        <v>-2.3273855702094646E-2</v>
      </c>
      <c r="G14" s="26">
        <f t="shared" si="1"/>
        <v>-6.7724245241844441E-3</v>
      </c>
      <c r="H14" s="26">
        <f t="shared" si="2"/>
        <v>4.4234183354311625E-2</v>
      </c>
      <c r="K14" s="10">
        <v>7</v>
      </c>
      <c r="L14" s="10">
        <f ca="1">_xll.RiskDuniform($A$3:$A$64)</f>
        <v>26</v>
      </c>
      <c r="M14" s="28">
        <f t="shared" ca="1" si="5"/>
        <v>75.237446510325711</v>
      </c>
      <c r="N14" s="28">
        <f t="shared" ca="1" si="3"/>
        <v>42.153744230814453</v>
      </c>
      <c r="O14" s="28">
        <f t="shared" ca="1" si="4"/>
        <v>48.534857620749108</v>
      </c>
    </row>
    <row r="15" spans="1:15" hidden="1" x14ac:dyDescent="0.25">
      <c r="A15" s="11">
        <v>13</v>
      </c>
      <c r="B15" s="4">
        <v>43963</v>
      </c>
      <c r="C15" s="24">
        <v>78.9375</v>
      </c>
      <c r="D15" s="24">
        <v>52.461100000000002</v>
      </c>
      <c r="E15" s="24">
        <v>41.418999999999997</v>
      </c>
      <c r="F15" s="26">
        <f t="shared" si="0"/>
        <v>3.177124702144559E-3</v>
      </c>
      <c r="G15" s="26">
        <f t="shared" si="1"/>
        <v>2.273504502112062E-3</v>
      </c>
      <c r="H15" s="26">
        <f t="shared" si="2"/>
        <v>4.5377486848773357E-3</v>
      </c>
      <c r="K15" s="10">
        <v>8</v>
      </c>
      <c r="L15" s="10">
        <f ca="1">_xll.RiskDuniform($A$3:$A$64)</f>
        <v>7</v>
      </c>
      <c r="M15" s="28">
        <f t="shared" ca="1" si="5"/>
        <v>71.200862196806</v>
      </c>
      <c r="N15" s="28">
        <f t="shared" ca="1" si="3"/>
        <v>43.523402341560029</v>
      </c>
      <c r="O15" s="28">
        <f t="shared" ca="1" si="4"/>
        <v>49.220590758157336</v>
      </c>
    </row>
    <row r="16" spans="1:15" hidden="1" x14ac:dyDescent="0.25">
      <c r="A16" s="11">
        <v>14</v>
      </c>
      <c r="B16" s="4">
        <v>43964</v>
      </c>
      <c r="C16" s="24">
        <v>66.625</v>
      </c>
      <c r="D16" s="24">
        <v>52.639499999999998</v>
      </c>
      <c r="E16" s="24">
        <v>43.415100000000002</v>
      </c>
      <c r="F16" s="26">
        <f t="shared" si="0"/>
        <v>-0.15597783056215361</v>
      </c>
      <c r="G16" s="26">
        <f t="shared" si="1"/>
        <v>3.4006149318256068E-3</v>
      </c>
      <c r="H16" s="26">
        <f t="shared" si="2"/>
        <v>4.819285835003273E-2</v>
      </c>
      <c r="K16" s="10">
        <v>9</v>
      </c>
      <c r="L16" s="10">
        <f ca="1">_xll.RiskDuniform($A$3:$A$64)</f>
        <v>13</v>
      </c>
      <c r="M16" s="28">
        <f t="shared" ca="1" si="5"/>
        <v>71.427076214905469</v>
      </c>
      <c r="N16" s="28">
        <f t="shared" ca="1" si="3"/>
        <v>43.622352992730804</v>
      </c>
      <c r="O16" s="28">
        <f t="shared" ca="1" si="4"/>
        <v>49.443941429139052</v>
      </c>
    </row>
    <row r="17" spans="1:15" hidden="1" x14ac:dyDescent="0.25">
      <c r="A17" s="11">
        <v>15</v>
      </c>
      <c r="B17" s="4">
        <v>43965</v>
      </c>
      <c r="C17" s="24">
        <v>69.375</v>
      </c>
      <c r="D17" s="24">
        <v>52.342100000000002</v>
      </c>
      <c r="E17" s="24">
        <v>43.352699999999999</v>
      </c>
      <c r="F17" s="26">
        <f t="shared" si="0"/>
        <v>4.1275797373358347E-2</v>
      </c>
      <c r="G17" s="26">
        <f t="shared" si="1"/>
        <v>-5.6497497126681701E-3</v>
      </c>
      <c r="H17" s="26">
        <f t="shared" si="2"/>
        <v>-1.4372879482024406E-3</v>
      </c>
      <c r="K17" s="10">
        <v>10</v>
      </c>
      <c r="L17" s="10">
        <f ca="1">_xll.RiskDuniform($A$3:$A$64)</f>
        <v>30</v>
      </c>
      <c r="M17" s="28">
        <f t="shared" ca="1" si="5"/>
        <v>71.555773649526913</v>
      </c>
      <c r="N17" s="28">
        <f t="shared" ca="1" si="3"/>
        <v>44.299060481771164</v>
      </c>
      <c r="O17" s="28">
        <f t="shared" ca="1" si="4"/>
        <v>50.005804399924727</v>
      </c>
    </row>
    <row r="18" spans="1:15" hidden="1" x14ac:dyDescent="0.25">
      <c r="A18" s="11">
        <v>16</v>
      </c>
      <c r="B18" s="4">
        <v>43966</v>
      </c>
      <c r="C18" s="24">
        <v>68</v>
      </c>
      <c r="D18" s="24">
        <v>52.342100000000002</v>
      </c>
      <c r="E18" s="24">
        <v>43.415100000000002</v>
      </c>
      <c r="F18" s="26">
        <f t="shared" si="0"/>
        <v>-1.9819819819819819E-2</v>
      </c>
      <c r="G18" s="26">
        <f t="shared" si="1"/>
        <v>0</v>
      </c>
      <c r="H18" s="26">
        <f t="shared" si="2"/>
        <v>1.4393567182667698E-3</v>
      </c>
      <c r="K18" s="10">
        <v>11</v>
      </c>
      <c r="L18" s="10">
        <f ca="1">_xll.RiskDuniform($A$3:$A$64)</f>
        <v>39</v>
      </c>
      <c r="M18" s="28">
        <f t="shared" ca="1" si="5"/>
        <v>73.812364680183407</v>
      </c>
      <c r="N18" s="28">
        <f t="shared" ca="1" si="3"/>
        <v>45.10351287291698</v>
      </c>
      <c r="O18" s="28">
        <f t="shared" ca="1" si="4"/>
        <v>48.966902646463687</v>
      </c>
    </row>
    <row r="19" spans="1:15" hidden="1" x14ac:dyDescent="0.25">
      <c r="A19" s="11">
        <v>17</v>
      </c>
      <c r="B19" s="4">
        <v>43967</v>
      </c>
      <c r="C19" s="24">
        <v>69.8125</v>
      </c>
      <c r="D19" s="24">
        <v>52.461100000000002</v>
      </c>
      <c r="E19" s="24">
        <v>42.666600000000003</v>
      </c>
      <c r="F19" s="26">
        <f t="shared" si="0"/>
        <v>2.6654411764705881E-2</v>
      </c>
      <c r="G19" s="26">
        <f t="shared" si="1"/>
        <v>2.273504502112062E-3</v>
      </c>
      <c r="H19" s="26">
        <f t="shared" si="2"/>
        <v>-1.724054534021573E-2</v>
      </c>
      <c r="K19" s="10">
        <v>12</v>
      </c>
      <c r="L19" s="10">
        <f ca="1">_xll.RiskDuniform($A$3:$A$64)</f>
        <v>36</v>
      </c>
      <c r="M19" s="28">
        <f t="shared" ca="1" si="5"/>
        <v>76.586716666184358</v>
      </c>
      <c r="N19" s="28">
        <f t="shared" ca="1" si="3"/>
        <v>45.597423022638651</v>
      </c>
      <c r="O19" s="28">
        <f t="shared" ca="1" si="4"/>
        <v>49.036162763361084</v>
      </c>
    </row>
    <row r="20" spans="1:15" hidden="1" x14ac:dyDescent="0.25">
      <c r="A20" s="11">
        <v>18</v>
      </c>
      <c r="B20" s="4">
        <v>43968</v>
      </c>
      <c r="C20" s="24">
        <v>69.75</v>
      </c>
      <c r="D20" s="24">
        <v>52.581200000000003</v>
      </c>
      <c r="E20" s="24">
        <v>42.0428</v>
      </c>
      <c r="F20" s="26">
        <f t="shared" si="0"/>
        <v>-8.9525514771709937E-4</v>
      </c>
      <c r="G20" s="26">
        <f t="shared" si="1"/>
        <v>2.2893153212570983E-3</v>
      </c>
      <c r="H20" s="26">
        <f t="shared" si="2"/>
        <v>-1.462033534427404E-2</v>
      </c>
      <c r="K20" s="10">
        <v>13</v>
      </c>
      <c r="L20" s="10">
        <f ca="1">_xll.RiskDuniform($A$3:$A$64)</f>
        <v>60</v>
      </c>
      <c r="M20" s="28">
        <f t="shared" ca="1" si="5"/>
        <v>76.708186478501858</v>
      </c>
      <c r="N20" s="28">
        <f t="shared" ca="1" si="3"/>
        <v>46.793817475644936</v>
      </c>
      <c r="O20" s="28">
        <f t="shared" ca="1" si="4"/>
        <v>48.498225624620893</v>
      </c>
    </row>
    <row r="21" spans="1:15" hidden="1" x14ac:dyDescent="0.25">
      <c r="A21" s="11">
        <v>19</v>
      </c>
      <c r="B21" s="4">
        <v>43969</v>
      </c>
      <c r="C21" s="24">
        <v>73.4375</v>
      </c>
      <c r="D21" s="24">
        <v>51.920900000000003</v>
      </c>
      <c r="E21" s="24">
        <v>41.730899999999998</v>
      </c>
      <c r="F21" s="26">
        <f t="shared" si="0"/>
        <v>5.2867383512544802E-2</v>
      </c>
      <c r="G21" s="26">
        <f t="shared" si="1"/>
        <v>-1.255772024982312E-2</v>
      </c>
      <c r="H21" s="26">
        <f t="shared" si="2"/>
        <v>-7.4186305384037554E-3</v>
      </c>
      <c r="K21" s="10">
        <v>14</v>
      </c>
      <c r="L21" s="10">
        <f ca="1">_xll.RiskDuniform($A$3:$A$64)</f>
        <v>6</v>
      </c>
      <c r="M21" s="28">
        <f t="shared" ca="1" si="5"/>
        <v>74.758450438743282</v>
      </c>
      <c r="N21" s="28">
        <f t="shared" ca="1" si="3"/>
        <v>47.595654948547839</v>
      </c>
      <c r="O21" s="28">
        <f t="shared" ca="1" si="4"/>
        <v>48.498225624620893</v>
      </c>
    </row>
    <row r="22" spans="1:15" hidden="1" x14ac:dyDescent="0.25">
      <c r="A22" s="11">
        <v>20</v>
      </c>
      <c r="B22" s="4">
        <v>43970</v>
      </c>
      <c r="C22" s="24">
        <v>69.875</v>
      </c>
      <c r="D22" s="24">
        <v>51.140599999999999</v>
      </c>
      <c r="E22" s="24">
        <v>42.853700000000003</v>
      </c>
      <c r="F22" s="26">
        <f t="shared" si="0"/>
        <v>-4.851063829787234E-2</v>
      </c>
      <c r="G22" s="26">
        <f t="shared" si="1"/>
        <v>-1.5028630089231965E-2</v>
      </c>
      <c r="H22" s="26">
        <f t="shared" si="2"/>
        <v>2.6905722138751025E-2</v>
      </c>
      <c r="K22" s="10">
        <v>15</v>
      </c>
      <c r="L22" s="10">
        <f ca="1">_xll.RiskDuniform($A$3:$A$64)</f>
        <v>9</v>
      </c>
      <c r="M22" s="28">
        <f t="shared" ca="1" si="5"/>
        <v>69.923913422988591</v>
      </c>
      <c r="N22" s="28">
        <f t="shared" ca="1" si="3"/>
        <v>45.683075239477084</v>
      </c>
      <c r="O22" s="28">
        <f t="shared" ca="1" si="4"/>
        <v>46.432853640991347</v>
      </c>
    </row>
    <row r="23" spans="1:15" hidden="1" x14ac:dyDescent="0.25">
      <c r="A23" s="11">
        <v>21</v>
      </c>
      <c r="B23" s="4">
        <v>43971</v>
      </c>
      <c r="C23" s="24">
        <v>70.5625</v>
      </c>
      <c r="D23" s="24">
        <v>50.960500000000003</v>
      </c>
      <c r="E23" s="24">
        <v>42.604199999999999</v>
      </c>
      <c r="F23" s="26">
        <f t="shared" si="0"/>
        <v>9.8389982110912346E-3</v>
      </c>
      <c r="G23" s="26">
        <f t="shared" si="1"/>
        <v>-3.521663805274008E-3</v>
      </c>
      <c r="H23" s="26">
        <f t="shared" si="2"/>
        <v>-5.8221343781284856E-3</v>
      </c>
      <c r="K23" s="10">
        <v>16</v>
      </c>
      <c r="L23" s="10">
        <f ca="1">_xll.RiskDuniform($A$3:$A$64)</f>
        <v>37</v>
      </c>
      <c r="M23" s="28">
        <f t="shared" ca="1" si="5"/>
        <v>65.591163782860605</v>
      </c>
      <c r="N23" s="28">
        <f t="shared" ca="1" si="3"/>
        <v>44.583588032655285</v>
      </c>
      <c r="O23" s="28">
        <f t="shared" ca="1" si="4"/>
        <v>47.908421523250368</v>
      </c>
    </row>
    <row r="24" spans="1:15" hidden="1" x14ac:dyDescent="0.25">
      <c r="A24" s="11">
        <v>22</v>
      </c>
      <c r="B24" s="4">
        <v>43972</v>
      </c>
      <c r="C24" s="24">
        <v>70.4375</v>
      </c>
      <c r="D24" s="24">
        <v>50.540300000000002</v>
      </c>
      <c r="E24" s="24">
        <v>42.9161</v>
      </c>
      <c r="F24" s="26">
        <f t="shared" si="0"/>
        <v>-1.7714791851195749E-3</v>
      </c>
      <c r="G24" s="26">
        <f t="shared" si="1"/>
        <v>-8.2456019858518116E-3</v>
      </c>
      <c r="H24" s="26">
        <f t="shared" si="2"/>
        <v>7.3208744677755108E-3</v>
      </c>
      <c r="K24" s="10">
        <v>17</v>
      </c>
      <c r="L24" s="10">
        <f ca="1">_xll.RiskDuniform($A$3:$A$64)</f>
        <v>6</v>
      </c>
      <c r="M24" s="28">
        <f t="shared" ca="1" si="5"/>
        <v>63.923995494988333</v>
      </c>
      <c r="N24" s="28">
        <f t="shared" ca="1" si="3"/>
        <v>45.347552023831149</v>
      </c>
      <c r="O24" s="28">
        <f t="shared" ca="1" si="4"/>
        <v>47.908421523250368</v>
      </c>
    </row>
    <row r="25" spans="1:15" hidden="1" x14ac:dyDescent="0.25">
      <c r="A25" s="11">
        <v>23</v>
      </c>
      <c r="B25" s="4">
        <v>43973</v>
      </c>
      <c r="C25" s="24">
        <v>71.125</v>
      </c>
      <c r="D25" s="24">
        <v>50.7804</v>
      </c>
      <c r="E25" s="24">
        <v>44.5379</v>
      </c>
      <c r="F25" s="26">
        <f t="shared" si="0"/>
        <v>9.7604259094942331E-3</v>
      </c>
      <c r="G25" s="26">
        <f t="shared" si="1"/>
        <v>4.7506643213435255E-3</v>
      </c>
      <c r="H25" s="26">
        <f t="shared" si="2"/>
        <v>3.7790013538042844E-2</v>
      </c>
      <c r="K25" s="10">
        <v>18</v>
      </c>
      <c r="L25" s="10">
        <f ca="1">_xll.RiskDuniform($A$3:$A$64)</f>
        <v>9</v>
      </c>
      <c r="M25" s="28">
        <f t="shared" ca="1" si="5"/>
        <v>59.790109350990662</v>
      </c>
      <c r="N25" s="28">
        <f t="shared" ca="1" si="3"/>
        <v>43.525309889531954</v>
      </c>
      <c r="O25" s="28">
        <f t="shared" ca="1" si="4"/>
        <v>45.86816725993144</v>
      </c>
    </row>
    <row r="26" spans="1:15" hidden="1" x14ac:dyDescent="0.25">
      <c r="A26" s="11">
        <v>24</v>
      </c>
      <c r="B26" s="4">
        <v>43974</v>
      </c>
      <c r="C26" s="24">
        <v>69.8125</v>
      </c>
      <c r="D26" s="24">
        <v>51.4407</v>
      </c>
      <c r="E26" s="24">
        <v>46.034999999999997</v>
      </c>
      <c r="F26" s="26">
        <f t="shared" si="0"/>
        <v>-1.8453427065026361E-2</v>
      </c>
      <c r="G26" s="26">
        <f t="shared" si="1"/>
        <v>1.3003048420256623E-2</v>
      </c>
      <c r="H26" s="26">
        <f t="shared" si="2"/>
        <v>3.3614068018474066E-2</v>
      </c>
      <c r="K26" s="10">
        <v>19</v>
      </c>
      <c r="L26" s="10">
        <f ca="1">_xll.RiskDuniform($A$3:$A$64)</f>
        <v>9</v>
      </c>
      <c r="M26" s="28">
        <f t="shared" ca="1" si="5"/>
        <v>55.923556538071708</v>
      </c>
      <c r="N26" s="28">
        <f t="shared" ca="1" si="3"/>
        <v>41.776292576591807</v>
      </c>
      <c r="O26" s="28">
        <f t="shared" ca="1" si="4"/>
        <v>43.914800381473874</v>
      </c>
    </row>
    <row r="27" spans="1:15" hidden="1" x14ac:dyDescent="0.25">
      <c r="A27" s="11">
        <v>25</v>
      </c>
      <c r="B27" s="4">
        <v>43975</v>
      </c>
      <c r="C27" s="24">
        <v>67.8125</v>
      </c>
      <c r="D27" s="24">
        <v>50.960500000000003</v>
      </c>
      <c r="E27" s="24">
        <v>44.625</v>
      </c>
      <c r="F27" s="26">
        <f t="shared" si="0"/>
        <v>-2.864816472694718E-2</v>
      </c>
      <c r="G27" s="26">
        <f t="shared" si="1"/>
        <v>-9.3350207131706296E-3</v>
      </c>
      <c r="H27" s="26">
        <f t="shared" si="2"/>
        <v>-3.0628869338546687E-2</v>
      </c>
      <c r="K27" s="10">
        <v>20</v>
      </c>
      <c r="L27" s="10">
        <f ca="1">_xll.RiskDuniform($A$3:$A$64)</f>
        <v>53</v>
      </c>
      <c r="M27" s="28">
        <f t="shared" ca="1" si="5"/>
        <v>56.790588422382896</v>
      </c>
      <c r="N27" s="28">
        <f t="shared" ca="1" si="3"/>
        <v>41.428103639124764</v>
      </c>
      <c r="O27" s="28">
        <f t="shared" ca="1" si="4"/>
        <v>42.826950046078821</v>
      </c>
    </row>
    <row r="28" spans="1:15" hidden="1" x14ac:dyDescent="0.25">
      <c r="A28" s="11">
        <v>26</v>
      </c>
      <c r="B28" s="4">
        <v>43976</v>
      </c>
      <c r="C28" s="24">
        <v>66.1875</v>
      </c>
      <c r="D28" s="24">
        <v>50.180199999999999</v>
      </c>
      <c r="E28" s="24">
        <v>43.390599999999999</v>
      </c>
      <c r="F28" s="26">
        <f t="shared" si="0"/>
        <v>-2.3963133640552997E-2</v>
      </c>
      <c r="G28" s="26">
        <f t="shared" si="1"/>
        <v>-1.531185918505517E-2</v>
      </c>
      <c r="H28" s="26">
        <f t="shared" si="2"/>
        <v>-2.7661624649859964E-2</v>
      </c>
      <c r="K28" s="10">
        <v>21</v>
      </c>
      <c r="L28" s="10">
        <f ca="1">_xll.RiskDuniform($A$3:$A$64)</f>
        <v>33</v>
      </c>
      <c r="M28" s="28">
        <f t="shared" ca="1" si="5"/>
        <v>55.825309299056279</v>
      </c>
      <c r="N28" s="28">
        <f t="shared" ca="1" si="3"/>
        <v>41.283227909952025</v>
      </c>
      <c r="O28" s="28">
        <f t="shared" ca="1" si="4"/>
        <v>41.87918904920847</v>
      </c>
    </row>
    <row r="29" spans="1:15" hidden="1" x14ac:dyDescent="0.25">
      <c r="A29" s="11">
        <v>27</v>
      </c>
      <c r="B29" s="4">
        <v>43977</v>
      </c>
      <c r="C29" s="24">
        <v>67.875</v>
      </c>
      <c r="D29" s="24">
        <v>50.840499999999999</v>
      </c>
      <c r="E29" s="24">
        <v>42.703099999999999</v>
      </c>
      <c r="F29" s="26">
        <f t="shared" si="0"/>
        <v>2.5495750708215296E-2</v>
      </c>
      <c r="G29" s="26">
        <f t="shared" si="1"/>
        <v>1.3158576490328843E-2</v>
      </c>
      <c r="H29" s="26">
        <f t="shared" si="2"/>
        <v>-1.5844445571160576E-2</v>
      </c>
      <c r="K29" s="10">
        <v>22</v>
      </c>
      <c r="L29" s="10">
        <f ca="1">_xll.RiskDuniform($A$3:$A$64)</f>
        <v>10</v>
      </c>
      <c r="M29" s="28">
        <f t="shared" ca="1" si="5"/>
        <v>57.143276129050861</v>
      </c>
      <c r="N29" s="28">
        <f t="shared" ca="1" si="3"/>
        <v>45.085685101054693</v>
      </c>
      <c r="O29" s="28">
        <f t="shared" ca="1" si="4"/>
        <v>41.948207005727824</v>
      </c>
    </row>
    <row r="30" spans="1:15" hidden="1" x14ac:dyDescent="0.25">
      <c r="A30" s="11">
        <v>28</v>
      </c>
      <c r="B30" s="4">
        <v>43978</v>
      </c>
      <c r="C30" s="24">
        <v>68.8125</v>
      </c>
      <c r="D30" s="24">
        <v>51.260599999999997</v>
      </c>
      <c r="E30" s="24">
        <v>43.093800000000002</v>
      </c>
      <c r="F30" s="26">
        <f t="shared" si="0"/>
        <v>1.3812154696132596E-2</v>
      </c>
      <c r="G30" s="26">
        <f t="shared" si="1"/>
        <v>8.2630973338184699E-3</v>
      </c>
      <c r="H30" s="26">
        <f t="shared" si="2"/>
        <v>9.1492186749908676E-3</v>
      </c>
      <c r="K30" s="10">
        <v>23</v>
      </c>
      <c r="L30" s="10">
        <f ca="1">_xll.RiskDuniform($A$3:$A$64)</f>
        <v>6</v>
      </c>
      <c r="M30" s="28">
        <f t="shared" ca="1" si="5"/>
        <v>55.690832654456251</v>
      </c>
      <c r="N30" s="28">
        <f t="shared" ca="1" si="3"/>
        <v>45.858252798151469</v>
      </c>
      <c r="O30" s="28">
        <f t="shared" ca="1" si="4"/>
        <v>41.948207005727824</v>
      </c>
    </row>
    <row r="31" spans="1:15" hidden="1" x14ac:dyDescent="0.25">
      <c r="A31" s="11">
        <v>29</v>
      </c>
      <c r="B31" s="4">
        <v>43979</v>
      </c>
      <c r="C31" s="24">
        <v>69.375</v>
      </c>
      <c r="D31" s="24">
        <v>50.300199999999997</v>
      </c>
      <c r="E31" s="24">
        <v>44</v>
      </c>
      <c r="F31" s="26">
        <f t="shared" si="0"/>
        <v>8.1743869209809257E-3</v>
      </c>
      <c r="G31" s="26">
        <f t="shared" si="1"/>
        <v>-1.8735637117006043E-2</v>
      </c>
      <c r="H31" s="26">
        <f t="shared" si="2"/>
        <v>2.1028547029967148E-2</v>
      </c>
      <c r="K31" s="10">
        <v>24</v>
      </c>
      <c r="L31" s="10">
        <f ca="1">_xll.RiskDuniform($A$3:$A$64)</f>
        <v>58</v>
      </c>
      <c r="M31" s="28">
        <f t="shared" ca="1" si="5"/>
        <v>56.990136071173254</v>
      </c>
      <c r="N31" s="28">
        <f t="shared" ca="1" si="3"/>
        <v>44.245801790379026</v>
      </c>
      <c r="O31" s="28">
        <f t="shared" ca="1" si="4"/>
        <v>42.291107880434048</v>
      </c>
    </row>
    <row r="32" spans="1:15" hidden="1" x14ac:dyDescent="0.25">
      <c r="A32" s="11">
        <v>30</v>
      </c>
      <c r="B32" s="4">
        <v>43980</v>
      </c>
      <c r="C32" s="24">
        <v>69.5</v>
      </c>
      <c r="D32" s="24">
        <v>51.080500000000001</v>
      </c>
      <c r="E32" s="24">
        <v>44.5</v>
      </c>
      <c r="F32" s="26">
        <f t="shared" si="0"/>
        <v>1.8018018018018018E-3</v>
      </c>
      <c r="G32" s="26">
        <f t="shared" si="1"/>
        <v>1.5512860783853822E-2</v>
      </c>
      <c r="H32" s="26">
        <f t="shared" si="2"/>
        <v>1.1363636363636364E-2</v>
      </c>
      <c r="K32" s="10">
        <v>25</v>
      </c>
      <c r="L32" s="10">
        <f ca="1">_xll.RiskDuniform($A$3:$A$64)</f>
        <v>50</v>
      </c>
      <c r="M32" s="28">
        <f t="shared" ca="1" si="5"/>
        <v>59.19417448276559</v>
      </c>
      <c r="N32" s="28">
        <f t="shared" ca="1" si="3"/>
        <v>42.750592916153025</v>
      </c>
      <c r="O32" s="28">
        <f t="shared" ca="1" si="4"/>
        <v>42.982986191357789</v>
      </c>
    </row>
    <row r="33" spans="1:15" x14ac:dyDescent="0.25">
      <c r="A33" s="11">
        <v>31</v>
      </c>
      <c r="B33" s="4">
        <v>43981</v>
      </c>
      <c r="C33" s="24">
        <v>67.6875</v>
      </c>
      <c r="D33" s="24">
        <v>50.300199999999997</v>
      </c>
      <c r="E33" s="24">
        <v>45</v>
      </c>
      <c r="F33" s="26">
        <f t="shared" si="0"/>
        <v>-2.6079136690647483E-2</v>
      </c>
      <c r="G33" s="26">
        <f t="shared" si="1"/>
        <v>-1.5275888059044136E-2</v>
      </c>
      <c r="H33" s="26">
        <f t="shared" si="2"/>
        <v>1.1235955056179775E-2</v>
      </c>
      <c r="K33" s="10">
        <v>26</v>
      </c>
      <c r="L33" s="10">
        <f ca="1">_xll.RiskDuniform($A$3:$A$64)</f>
        <v>52</v>
      </c>
      <c r="M33" s="28">
        <f t="shared" ca="1" si="5"/>
        <v>59.347527266399695</v>
      </c>
      <c r="N33" s="28">
        <f t="shared" ca="1" si="3"/>
        <v>41.821219578488559</v>
      </c>
      <c r="O33" s="28">
        <f t="shared" ca="1" si="4"/>
        <v>43.840359586132209</v>
      </c>
    </row>
    <row r="34" spans="1:15" x14ac:dyDescent="0.25">
      <c r="A34" s="11">
        <v>32</v>
      </c>
      <c r="B34" s="4">
        <v>43982</v>
      </c>
      <c r="C34" s="24">
        <v>66.1875</v>
      </c>
      <c r="D34" s="24">
        <v>51.500700000000002</v>
      </c>
      <c r="E34" s="24">
        <v>45.1875</v>
      </c>
      <c r="F34" s="26">
        <f t="shared" si="0"/>
        <v>-2.2160664819944598E-2</v>
      </c>
      <c r="G34" s="26">
        <f t="shared" si="1"/>
        <v>2.3866704307338844E-2</v>
      </c>
      <c r="H34" s="26">
        <f t="shared" si="2"/>
        <v>4.1666666666666666E-3</v>
      </c>
      <c r="K34" s="10">
        <v>27</v>
      </c>
      <c r="L34" s="10">
        <f ca="1">_xll.RiskDuniform($A$3:$A$64)</f>
        <v>46</v>
      </c>
      <c r="M34" s="28">
        <f t="shared" ca="1" si="5"/>
        <v>57.92697475204438</v>
      </c>
      <c r="N34" s="28">
        <f t="shared" ca="1" si="3"/>
        <v>41.451093007705182</v>
      </c>
      <c r="O34" s="28">
        <f t="shared" ca="1" si="4"/>
        <v>44.596227854858626</v>
      </c>
    </row>
    <row r="35" spans="1:15" x14ac:dyDescent="0.25">
      <c r="A35" s="11">
        <v>33</v>
      </c>
      <c r="B35" s="4">
        <v>43983</v>
      </c>
      <c r="C35" s="24">
        <v>65.0625</v>
      </c>
      <c r="D35" s="24">
        <v>51.320599999999999</v>
      </c>
      <c r="E35" s="24">
        <v>44.1875</v>
      </c>
      <c r="F35" s="26">
        <f t="shared" si="0"/>
        <v>-1.69971671388102E-2</v>
      </c>
      <c r="G35" s="26">
        <f t="shared" si="1"/>
        <v>-3.4970398460604036E-3</v>
      </c>
      <c r="H35" s="26">
        <f t="shared" si="2"/>
        <v>-2.2130013831258646E-2</v>
      </c>
      <c r="K35" s="10">
        <v>28</v>
      </c>
      <c r="L35" s="10">
        <f ca="1">_xll.RiskDuniform($A$3:$A$64)</f>
        <v>35</v>
      </c>
      <c r="M35" s="28">
        <f t="shared" ca="1" si="5"/>
        <v>57.024509712090428</v>
      </c>
      <c r="N35" s="28">
        <f t="shared" ca="1" si="3"/>
        <v>41.552152564243904</v>
      </c>
      <c r="O35" s="28">
        <f t="shared" ca="1" si="4"/>
        <v>44.849975950761092</v>
      </c>
    </row>
    <row r="36" spans="1:15" x14ac:dyDescent="0.25">
      <c r="A36" s="11">
        <v>34</v>
      </c>
      <c r="B36" s="4">
        <v>43984</v>
      </c>
      <c r="C36" s="24">
        <v>64.1875</v>
      </c>
      <c r="D36" s="24">
        <v>49.219799999999999</v>
      </c>
      <c r="E36" s="24">
        <v>43.9375</v>
      </c>
      <c r="F36" s="26">
        <f t="shared" si="0"/>
        <v>-1.3448607108549471E-2</v>
      </c>
      <c r="G36" s="26">
        <f t="shared" si="1"/>
        <v>-4.0934829288823582E-2</v>
      </c>
      <c r="H36" s="26">
        <f t="shared" si="2"/>
        <v>-5.6577086280056579E-3</v>
      </c>
      <c r="K36" s="10">
        <v>29</v>
      </c>
      <c r="L36" s="10">
        <f ca="1">_xll.RiskDuniform($A$3:$A$64)</f>
        <v>10</v>
      </c>
      <c r="M36" s="28">
        <f t="shared" ca="1" si="5"/>
        <v>58.370788187586662</v>
      </c>
      <c r="N36" s="28">
        <f t="shared" ca="1" si="3"/>
        <v>45.379379487204929</v>
      </c>
      <c r="O36" s="28">
        <f t="shared" ca="1" si="4"/>
        <v>44.92388983878854</v>
      </c>
    </row>
    <row r="37" spans="1:15" x14ac:dyDescent="0.25">
      <c r="A37" s="11">
        <v>35</v>
      </c>
      <c r="B37" s="4">
        <v>43985</v>
      </c>
      <c r="C37" s="24">
        <v>63.1875</v>
      </c>
      <c r="D37" s="24">
        <v>49.339799999999997</v>
      </c>
      <c r="E37" s="24">
        <v>44.1875</v>
      </c>
      <c r="F37" s="26">
        <f t="shared" si="0"/>
        <v>-1.5579357351509251E-2</v>
      </c>
      <c r="G37" s="26">
        <f t="shared" si="1"/>
        <v>2.438043226506354E-3</v>
      </c>
      <c r="H37" s="26">
        <f t="shared" si="2"/>
        <v>5.6899004267425323E-3</v>
      </c>
      <c r="K37" s="10">
        <v>30</v>
      </c>
      <c r="L37" s="10">
        <f ca="1">_xll.RiskDuniform($A$3:$A$64)</f>
        <v>51</v>
      </c>
      <c r="M37" s="28">
        <f t="shared" ca="1" si="5"/>
        <v>59.923202767043755</v>
      </c>
      <c r="N37" s="28">
        <f t="shared" ca="1" si="3"/>
        <v>43.26330858312167</v>
      </c>
      <c r="O37" s="28">
        <f t="shared" ca="1" si="4"/>
        <v>45.315531732184567</v>
      </c>
    </row>
    <row r="38" spans="1:15" x14ac:dyDescent="0.25">
      <c r="A38" s="11">
        <v>36</v>
      </c>
      <c r="B38" s="4">
        <v>43986</v>
      </c>
      <c r="C38" s="24">
        <v>65.5625</v>
      </c>
      <c r="D38" s="24">
        <v>49.880099999999999</v>
      </c>
      <c r="E38" s="24">
        <v>44.25</v>
      </c>
      <c r="F38" s="26">
        <f t="shared" si="0"/>
        <v>3.7586547972304651E-2</v>
      </c>
      <c r="G38" s="26">
        <f t="shared" si="1"/>
        <v>1.0950591611640137E-2</v>
      </c>
      <c r="H38" s="26">
        <f t="shared" si="2"/>
        <v>1.4144271570014145E-3</v>
      </c>
      <c r="K38" s="10">
        <v>31</v>
      </c>
      <c r="L38" s="10">
        <f ca="1">_xll.RiskDuniform($A$3:$A$64)</f>
        <v>39</v>
      </c>
      <c r="M38" s="28">
        <f t="shared" ca="1" si="5"/>
        <v>61.812947716970868</v>
      </c>
      <c r="N38" s="28">
        <f t="shared" ca="1" si="3"/>
        <v>44.048952153438314</v>
      </c>
      <c r="O38" s="28">
        <f t="shared" ca="1" si="4"/>
        <v>44.37407331669597</v>
      </c>
    </row>
    <row r="39" spans="1:15" x14ac:dyDescent="0.25">
      <c r="A39" s="11">
        <v>37</v>
      </c>
      <c r="B39" s="4">
        <v>43987</v>
      </c>
      <c r="C39" s="24">
        <v>61.5</v>
      </c>
      <c r="D39" s="24">
        <v>48.679600000000001</v>
      </c>
      <c r="E39" s="24">
        <v>45.656199999999998</v>
      </c>
      <c r="F39" s="26">
        <f t="shared" si="0"/>
        <v>-6.196377502383222E-2</v>
      </c>
      <c r="G39" s="26">
        <f t="shared" si="1"/>
        <v>-2.4067714379081E-2</v>
      </c>
      <c r="H39" s="26">
        <f t="shared" si="2"/>
        <v>3.1778531073446289E-2</v>
      </c>
      <c r="K39" s="10">
        <v>32</v>
      </c>
      <c r="L39" s="10">
        <f ca="1">_xll.RiskDuniform($A$3:$A$64)</f>
        <v>34</v>
      </c>
      <c r="M39" s="28">
        <f t="shared" ca="1" si="5"/>
        <v>60.981649668904019</v>
      </c>
      <c r="N39" s="28">
        <f t="shared" ca="1" si="3"/>
        <v>42.245815816685756</v>
      </c>
      <c r="O39" s="28">
        <f t="shared" ca="1" si="4"/>
        <v>44.123017739232345</v>
      </c>
    </row>
    <row r="40" spans="1:15" x14ac:dyDescent="0.25">
      <c r="A40" s="11">
        <v>38</v>
      </c>
      <c r="B40" s="4">
        <v>43988</v>
      </c>
      <c r="C40" s="24">
        <v>61.4375</v>
      </c>
      <c r="D40" s="24">
        <v>46.278599999999997</v>
      </c>
      <c r="E40" s="24">
        <v>45.125</v>
      </c>
      <c r="F40" s="26">
        <f t="shared" si="0"/>
        <v>-1.0162601626016261E-3</v>
      </c>
      <c r="G40" s="26">
        <f t="shared" si="1"/>
        <v>-4.9322508812726547E-2</v>
      </c>
      <c r="H40" s="26">
        <f t="shared" si="2"/>
        <v>-1.1634783446716949E-2</v>
      </c>
      <c r="K40" s="10">
        <v>33</v>
      </c>
      <c r="L40" s="10">
        <f ca="1">_xll.RiskDuniform($A$3:$A$64)</f>
        <v>33</v>
      </c>
      <c r="M40" s="28">
        <f t="shared" ca="1" si="5"/>
        <v>59.945134377081288</v>
      </c>
      <c r="N40" s="28">
        <f t="shared" ref="N40:N71" ca="1" si="6">N39*(1+VLOOKUP(L40,Lookup,N$5))</f>
        <v>42.098080515445474</v>
      </c>
      <c r="O40" s="28">
        <f t="shared" ref="O40:O71" ca="1" si="7">O39*(1+VLOOKUP(L40,Lookup,O$5))</f>
        <v>43.146574746386264</v>
      </c>
    </row>
    <row r="41" spans="1:15" x14ac:dyDescent="0.25">
      <c r="A41" s="11">
        <v>39</v>
      </c>
      <c r="B41" s="4">
        <v>43989</v>
      </c>
      <c r="C41" s="24">
        <v>63.375</v>
      </c>
      <c r="D41" s="24">
        <v>47.119</v>
      </c>
      <c r="E41" s="24">
        <v>44.1875</v>
      </c>
      <c r="F41" s="26">
        <f t="shared" si="0"/>
        <v>3.1536113936927769E-2</v>
      </c>
      <c r="G41" s="26">
        <f t="shared" si="1"/>
        <v>1.8159581318363184E-2</v>
      </c>
      <c r="H41" s="26">
        <f t="shared" si="2"/>
        <v>-2.077562326869806E-2</v>
      </c>
      <c r="K41" s="10">
        <v>34</v>
      </c>
      <c r="L41" s="10">
        <f ca="1">_xll.RiskDuniform($A$3:$A$64)</f>
        <v>40</v>
      </c>
      <c r="M41" s="28">
        <f t="shared" ca="1" si="5"/>
        <v>59.176607013272559</v>
      </c>
      <c r="N41" s="28">
        <f t="shared" ca="1" si="6"/>
        <v>41.66904980037264</v>
      </c>
      <c r="O41" s="28">
        <f t="shared" ca="1" si="7"/>
        <v>43.451713181650661</v>
      </c>
    </row>
    <row r="42" spans="1:15" x14ac:dyDescent="0.25">
      <c r="A42" s="11">
        <v>40</v>
      </c>
      <c r="B42" s="4">
        <v>43990</v>
      </c>
      <c r="C42" s="24">
        <v>62.5625</v>
      </c>
      <c r="D42" s="24">
        <v>46.638800000000003</v>
      </c>
      <c r="E42" s="24">
        <v>44.5</v>
      </c>
      <c r="F42" s="26">
        <f t="shared" si="0"/>
        <v>-1.282051282051282E-2</v>
      </c>
      <c r="G42" s="26">
        <f t="shared" si="1"/>
        <v>-1.0191217980007989E-2</v>
      </c>
      <c r="H42" s="26">
        <f t="shared" si="2"/>
        <v>7.0721357850070717E-3</v>
      </c>
      <c r="K42" s="10">
        <v>35</v>
      </c>
      <c r="L42" s="10">
        <f ca="1">_xll.RiskDuniform($A$3:$A$64)</f>
        <v>27</v>
      </c>
      <c r="M42" s="28">
        <f t="shared" ca="1" si="5"/>
        <v>60.685359033440974</v>
      </c>
      <c r="N42" s="28">
        <f t="shared" ca="1" si="6"/>
        <v>42.217355179450166</v>
      </c>
      <c r="O42" s="28">
        <f t="shared" ca="1" si="7"/>
        <v>42.763244877170315</v>
      </c>
    </row>
    <row r="43" spans="1:15" x14ac:dyDescent="0.25">
      <c r="A43" s="11">
        <v>41</v>
      </c>
      <c r="B43" s="4">
        <v>43991</v>
      </c>
      <c r="C43" s="24">
        <v>64.5625</v>
      </c>
      <c r="D43" s="24">
        <v>47.539099999999998</v>
      </c>
      <c r="E43" s="24">
        <v>45</v>
      </c>
      <c r="F43" s="26">
        <f t="shared" si="0"/>
        <v>3.1968031968031968E-2</v>
      </c>
      <c r="G43" s="26">
        <f t="shared" si="1"/>
        <v>1.9303669905743594E-2</v>
      </c>
      <c r="H43" s="26">
        <f t="shared" si="2"/>
        <v>1.1235955056179775E-2</v>
      </c>
      <c r="K43" s="10">
        <v>36</v>
      </c>
      <c r="L43" s="10">
        <f ca="1">_xll.RiskDuniform($A$3:$A$64)</f>
        <v>40</v>
      </c>
      <c r="M43" s="28">
        <f t="shared" ca="1" si="5"/>
        <v>59.907341609935322</v>
      </c>
      <c r="N43" s="28">
        <f t="shared" ca="1" si="6"/>
        <v>41.78710891027697</v>
      </c>
      <c r="O43" s="28">
        <f t="shared" ca="1" si="7"/>
        <v>43.065672351549168</v>
      </c>
    </row>
    <row r="44" spans="1:15" x14ac:dyDescent="0.25">
      <c r="A44" s="11">
        <v>42</v>
      </c>
      <c r="B44" s="4">
        <v>43992</v>
      </c>
      <c r="C44" s="24">
        <v>66.3125</v>
      </c>
      <c r="D44" s="24">
        <v>48.019300000000001</v>
      </c>
      <c r="E44" s="24">
        <v>43.5625</v>
      </c>
      <c r="F44" s="26">
        <f t="shared" si="0"/>
        <v>2.7105517909002903E-2</v>
      </c>
      <c r="G44" s="26">
        <f t="shared" si="1"/>
        <v>1.0101158835569111E-2</v>
      </c>
      <c r="H44" s="26">
        <f t="shared" si="2"/>
        <v>-3.1944444444444442E-2</v>
      </c>
      <c r="K44" s="10">
        <v>37</v>
      </c>
      <c r="L44" s="10">
        <f ca="1">_xll.RiskDuniform($A$3:$A$64)</f>
        <v>29</v>
      </c>
      <c r="M44" s="28">
        <f t="shared" ca="1" si="5"/>
        <v>60.397047399662313</v>
      </c>
      <c r="N44" s="28">
        <f t="shared" ca="1" si="6"/>
        <v>41.004200801565212</v>
      </c>
      <c r="O44" s="28">
        <f t="shared" ca="1" si="7"/>
        <v>43.971280867970876</v>
      </c>
    </row>
    <row r="45" spans="1:15" x14ac:dyDescent="0.25">
      <c r="A45" s="11">
        <v>43</v>
      </c>
      <c r="B45" s="4">
        <v>43993</v>
      </c>
      <c r="C45" s="24">
        <v>66.875</v>
      </c>
      <c r="D45" s="24">
        <v>48.619599999999998</v>
      </c>
      <c r="E45" s="24">
        <v>42.75</v>
      </c>
      <c r="F45" s="26">
        <f t="shared" si="0"/>
        <v>8.4825636192271438E-3</v>
      </c>
      <c r="G45" s="26">
        <f t="shared" si="1"/>
        <v>1.2501223466397827E-2</v>
      </c>
      <c r="H45" s="26">
        <f t="shared" si="2"/>
        <v>-1.8651362984218076E-2</v>
      </c>
      <c r="K45" s="10">
        <v>38</v>
      </c>
      <c r="L45" s="10">
        <f ca="1">_xll.RiskDuniform($A$3:$A$64)</f>
        <v>13</v>
      </c>
      <c r="M45" s="28">
        <f t="shared" ca="1" si="5"/>
        <v>60.588936350892375</v>
      </c>
      <c r="N45" s="28">
        <f t="shared" ca="1" si="6"/>
        <v>41.097424036693077</v>
      </c>
      <c r="O45" s="28">
        <f t="shared" ca="1" si="7"/>
        <v>44.170811489901887</v>
      </c>
    </row>
    <row r="46" spans="1:15" x14ac:dyDescent="0.25">
      <c r="A46" s="11">
        <v>44</v>
      </c>
      <c r="B46" s="4">
        <v>43994</v>
      </c>
      <c r="C46" s="24">
        <v>69.625</v>
      </c>
      <c r="D46" s="24">
        <v>48.019300000000001</v>
      </c>
      <c r="E46" s="24">
        <v>43.4375</v>
      </c>
      <c r="F46" s="26">
        <f t="shared" si="0"/>
        <v>4.1121495327102804E-2</v>
      </c>
      <c r="G46" s="26">
        <f t="shared" si="1"/>
        <v>-1.2346872454730134E-2</v>
      </c>
      <c r="H46" s="26">
        <f t="shared" si="2"/>
        <v>1.6081871345029239E-2</v>
      </c>
      <c r="K46" s="10">
        <v>39</v>
      </c>
      <c r="L46" s="10">
        <f ca="1">_xll.RiskDuniform($A$3:$A$64)</f>
        <v>21</v>
      </c>
      <c r="M46" s="28">
        <f t="shared" ca="1" si="5"/>
        <v>61.18507078726072</v>
      </c>
      <c r="N46" s="28">
        <f t="shared" ca="1" si="6"/>
        <v>40.952692725973058</v>
      </c>
      <c r="O46" s="28">
        <f t="shared" ca="1" si="7"/>
        <v>43.913643089816695</v>
      </c>
    </row>
    <row r="47" spans="1:15" x14ac:dyDescent="0.25">
      <c r="A47" s="11">
        <v>45</v>
      </c>
      <c r="B47" s="4">
        <v>43995</v>
      </c>
      <c r="C47" s="24">
        <v>70.5</v>
      </c>
      <c r="D47" s="24">
        <v>47.479100000000003</v>
      </c>
      <c r="E47" s="24">
        <v>43.5</v>
      </c>
      <c r="F47" s="26">
        <f t="shared" si="0"/>
        <v>1.2567324955116697E-2</v>
      </c>
      <c r="G47" s="26">
        <f t="shared" si="1"/>
        <v>-1.1249643372560588E-2</v>
      </c>
      <c r="H47" s="26">
        <f t="shared" si="2"/>
        <v>1.4388489208633094E-3</v>
      </c>
      <c r="K47" s="10">
        <v>40</v>
      </c>
      <c r="L47" s="10">
        <f ca="1">_xll.RiskDuniform($A$3:$A$64)</f>
        <v>25</v>
      </c>
      <c r="M47" s="28">
        <f t="shared" ca="1" si="5"/>
        <v>59.432230800517353</v>
      </c>
      <c r="N47" s="28">
        <f t="shared" ca="1" si="6"/>
        <v>40.570398491115988</v>
      </c>
      <c r="O47" s="28">
        <f t="shared" ca="1" si="7"/>
        <v>42.568617853439129</v>
      </c>
    </row>
    <row r="48" spans="1:15" x14ac:dyDescent="0.25">
      <c r="A48" s="11">
        <v>46</v>
      </c>
      <c r="B48" s="4">
        <v>43996</v>
      </c>
      <c r="C48" s="24">
        <v>68.8125</v>
      </c>
      <c r="D48" s="24">
        <v>47.058900000000001</v>
      </c>
      <c r="E48" s="24">
        <v>44.25</v>
      </c>
      <c r="F48" s="26">
        <f t="shared" si="0"/>
        <v>-2.3936170212765957E-2</v>
      </c>
      <c r="G48" s="26">
        <f t="shared" si="1"/>
        <v>-8.8502098818217106E-3</v>
      </c>
      <c r="H48" s="26">
        <f t="shared" si="2"/>
        <v>1.7241379310344827E-2</v>
      </c>
      <c r="K48" s="10">
        <v>41</v>
      </c>
      <c r="L48" s="10">
        <f ca="1">_xll.RiskDuniform($A$3:$A$64)</f>
        <v>4</v>
      </c>
      <c r="M48" s="28">
        <f t="shared" ca="1" si="5"/>
        <v>61.548640182221817</v>
      </c>
      <c r="N48" s="28">
        <f t="shared" ca="1" si="6"/>
        <v>39.097891155767002</v>
      </c>
      <c r="O48" s="28">
        <f t="shared" ca="1" si="7"/>
        <v>43.053987745857086</v>
      </c>
    </row>
    <row r="49" spans="1:15" x14ac:dyDescent="0.25">
      <c r="A49" s="11">
        <v>47</v>
      </c>
      <c r="B49" s="4">
        <v>43997</v>
      </c>
      <c r="C49" s="24">
        <v>68.8125</v>
      </c>
      <c r="D49" s="24">
        <v>47.899299999999997</v>
      </c>
      <c r="E49" s="24">
        <v>46</v>
      </c>
      <c r="F49" s="26">
        <f t="shared" si="0"/>
        <v>0</v>
      </c>
      <c r="G49" s="26">
        <f t="shared" si="1"/>
        <v>1.785847097998456E-2</v>
      </c>
      <c r="H49" s="26">
        <f t="shared" si="2"/>
        <v>3.954802259887006E-2</v>
      </c>
      <c r="K49" s="10">
        <v>42</v>
      </c>
      <c r="L49" s="10">
        <f ca="1">_xll.RiskDuniform($A$3:$A$64)</f>
        <v>9</v>
      </c>
      <c r="M49" s="28">
        <f t="shared" ca="1" si="5"/>
        <v>57.568365343939334</v>
      </c>
      <c r="N49" s="28">
        <f t="shared" ca="1" si="6"/>
        <v>37.526784856824086</v>
      </c>
      <c r="O49" s="28">
        <f t="shared" ca="1" si="7"/>
        <v>41.22046705662428</v>
      </c>
    </row>
    <row r="50" spans="1:15" x14ac:dyDescent="0.25">
      <c r="A50" s="11">
        <v>48</v>
      </c>
      <c r="B50" s="4">
        <v>43998</v>
      </c>
      <c r="C50" s="24">
        <v>66.875</v>
      </c>
      <c r="D50" s="24">
        <v>48.139400000000002</v>
      </c>
      <c r="E50" s="24">
        <v>44.375</v>
      </c>
      <c r="F50" s="26">
        <f t="shared" si="0"/>
        <v>-2.8156221616712079E-2</v>
      </c>
      <c r="G50" s="26">
        <f t="shared" si="1"/>
        <v>5.0125993490511408E-3</v>
      </c>
      <c r="H50" s="26">
        <f t="shared" si="2"/>
        <v>-3.5326086956521736E-2</v>
      </c>
      <c r="K50" s="10">
        <v>43</v>
      </c>
      <c r="L50" s="10">
        <f ca="1">_xll.RiskDuniform($A$3:$A$64)</f>
        <v>25</v>
      </c>
      <c r="M50" s="28">
        <f t="shared" ca="1" si="5"/>
        <v>55.91913733050508</v>
      </c>
      <c r="N50" s="28">
        <f t="shared" ca="1" si="6"/>
        <v>37.176471542886937</v>
      </c>
      <c r="O50" s="28">
        <f t="shared" ca="1" si="7"/>
        <v>39.957930757073065</v>
      </c>
    </row>
    <row r="51" spans="1:15" x14ac:dyDescent="0.25">
      <c r="A51" s="11">
        <v>49</v>
      </c>
      <c r="B51" s="4">
        <v>43999</v>
      </c>
      <c r="C51" s="24">
        <v>67.875</v>
      </c>
      <c r="D51" s="24">
        <v>47.959299999999999</v>
      </c>
      <c r="E51" s="24">
        <v>45.843800000000002</v>
      </c>
      <c r="F51" s="26">
        <f t="shared" si="0"/>
        <v>1.4953271028037384E-2</v>
      </c>
      <c r="G51" s="26">
        <f t="shared" si="1"/>
        <v>-3.7412182121090631E-3</v>
      </c>
      <c r="H51" s="26">
        <f t="shared" si="2"/>
        <v>3.3099718309859194E-2</v>
      </c>
      <c r="K51" s="10">
        <v>44</v>
      </c>
      <c r="L51" s="10">
        <f ca="1">_xll.RiskDuniform($A$3:$A$64)</f>
        <v>31</v>
      </c>
      <c r="M51" s="28">
        <f t="shared" ca="1" si="5"/>
        <v>54.460814504439753</v>
      </c>
      <c r="N51" s="28">
        <f t="shared" ca="1" si="6"/>
        <v>36.608567925167556</v>
      </c>
      <c r="O51" s="28">
        <f t="shared" ca="1" si="7"/>
        <v>40.406896271197482</v>
      </c>
    </row>
    <row r="52" spans="1:15" x14ac:dyDescent="0.25">
      <c r="A52" s="11">
        <v>50</v>
      </c>
      <c r="B52" s="4">
        <v>44000</v>
      </c>
      <c r="C52" s="24">
        <v>70.5</v>
      </c>
      <c r="D52" s="24">
        <v>46.3386</v>
      </c>
      <c r="E52" s="24">
        <v>46.593800000000002</v>
      </c>
      <c r="F52" s="26">
        <f t="shared" si="0"/>
        <v>3.8674033149171269E-2</v>
      </c>
      <c r="G52" s="26">
        <f t="shared" si="1"/>
        <v>-3.3793237182360866E-2</v>
      </c>
      <c r="H52" s="26">
        <f t="shared" si="2"/>
        <v>1.6359900357300224E-2</v>
      </c>
      <c r="K52" s="10">
        <v>45</v>
      </c>
      <c r="L52" s="10">
        <f ca="1">_xll.RiskDuniform($A$3:$A$64)</f>
        <v>22</v>
      </c>
      <c r="M52" s="28">
        <f t="shared" ca="1" si="5"/>
        <v>54.364338305140478</v>
      </c>
      <c r="N52" s="28">
        <f t="shared" ca="1" si="6"/>
        <v>36.306708244784602</v>
      </c>
      <c r="O52" s="28">
        <f t="shared" ca="1" si="7"/>
        <v>40.702710086431345</v>
      </c>
    </row>
    <row r="53" spans="1:15" x14ac:dyDescent="0.25">
      <c r="A53" s="11">
        <v>51</v>
      </c>
      <c r="B53" s="4">
        <v>44001</v>
      </c>
      <c r="C53" s="24">
        <v>72.375</v>
      </c>
      <c r="D53" s="24">
        <v>44.177799999999998</v>
      </c>
      <c r="E53" s="24">
        <v>47</v>
      </c>
      <c r="F53" s="26">
        <f t="shared" si="0"/>
        <v>2.6595744680851064E-2</v>
      </c>
      <c r="G53" s="26">
        <f t="shared" si="1"/>
        <v>-4.6630670758287945E-2</v>
      </c>
      <c r="H53" s="26">
        <f t="shared" si="2"/>
        <v>8.7178980894453417E-3</v>
      </c>
      <c r="K53" s="10">
        <v>46</v>
      </c>
      <c r="L53" s="10">
        <f ca="1">_xll.RiskDuniform($A$3:$A$64)</f>
        <v>31</v>
      </c>
      <c r="M53" s="28">
        <f t="shared" ca="1" si="5"/>
        <v>52.946563295384117</v>
      </c>
      <c r="N53" s="28">
        <f t="shared" ca="1" si="6"/>
        <v>35.752091033844899</v>
      </c>
      <c r="O53" s="28">
        <f t="shared" ca="1" si="7"/>
        <v>41.160043907627205</v>
      </c>
    </row>
    <row r="54" spans="1:15" x14ac:dyDescent="0.25">
      <c r="A54" s="11">
        <v>52</v>
      </c>
      <c r="B54" s="4">
        <v>44002</v>
      </c>
      <c r="C54" s="24">
        <v>72.5625</v>
      </c>
      <c r="D54" s="24">
        <v>43.217399999999998</v>
      </c>
      <c r="E54" s="24">
        <v>47.9375</v>
      </c>
      <c r="F54" s="26">
        <f t="shared" si="0"/>
        <v>2.5906735751295338E-3</v>
      </c>
      <c r="G54" s="26">
        <f t="shared" si="1"/>
        <v>-2.1739425684393517E-2</v>
      </c>
      <c r="H54" s="26">
        <f t="shared" si="2"/>
        <v>1.9946808510638299E-2</v>
      </c>
      <c r="K54" s="10">
        <v>47</v>
      </c>
      <c r="L54" s="10">
        <f ca="1">_xll.RiskDuniform($A$3:$A$64)</f>
        <v>31</v>
      </c>
      <c r="M54" s="28">
        <f t="shared" ca="1" si="5"/>
        <v>51.56576263390378</v>
      </c>
      <c r="N54" s="28">
        <f t="shared" ca="1" si="6"/>
        <v>35.205946093335129</v>
      </c>
      <c r="O54" s="28">
        <f t="shared" ca="1" si="7"/>
        <v>41.622516311083693</v>
      </c>
    </row>
    <row r="55" spans="1:15" x14ac:dyDescent="0.25">
      <c r="A55" s="11">
        <v>53</v>
      </c>
      <c r="B55" s="4">
        <v>44003</v>
      </c>
      <c r="C55" s="24">
        <v>73.6875</v>
      </c>
      <c r="D55" s="24">
        <v>42.857199999999999</v>
      </c>
      <c r="E55" s="24">
        <v>46.75</v>
      </c>
      <c r="F55" s="26">
        <f t="shared" si="0"/>
        <v>1.5503875968992248E-2</v>
      </c>
      <c r="G55" s="26">
        <f t="shared" si="1"/>
        <v>-8.3346059688921351E-3</v>
      </c>
      <c r="H55" s="26">
        <f t="shared" si="2"/>
        <v>-2.4771838331160364E-2</v>
      </c>
      <c r="K55" s="10">
        <v>48</v>
      </c>
      <c r="L55" s="10">
        <f ca="1">_xll.RiskDuniform($A$3:$A$64)</f>
        <v>22</v>
      </c>
      <c r="M55" s="28">
        <f t="shared" ca="1" si="5"/>
        <v>51.474414958733007</v>
      </c>
      <c r="N55" s="28">
        <f t="shared" ca="1" si="6"/>
        <v>34.915651874314136</v>
      </c>
      <c r="O55" s="28">
        <f t="shared" ca="1" si="7"/>
        <v>41.927229528030075</v>
      </c>
    </row>
    <row r="56" spans="1:15" x14ac:dyDescent="0.25">
      <c r="A56" s="11">
        <v>54</v>
      </c>
      <c r="B56" s="4">
        <v>44004</v>
      </c>
      <c r="C56" s="24">
        <v>74.9375</v>
      </c>
      <c r="D56" s="24">
        <v>41.296599999999998</v>
      </c>
      <c r="E56" s="24">
        <v>46.25</v>
      </c>
      <c r="F56" s="26">
        <f t="shared" si="0"/>
        <v>1.6963528413910092E-2</v>
      </c>
      <c r="G56" s="26">
        <f t="shared" si="1"/>
        <v>-3.6413951448064759E-2</v>
      </c>
      <c r="H56" s="26">
        <f t="shared" si="2"/>
        <v>-1.06951871657754E-2</v>
      </c>
      <c r="K56" s="10">
        <v>49</v>
      </c>
      <c r="L56" s="10">
        <f ca="1">_xll.RiskDuniform($A$3:$A$64)</f>
        <v>3</v>
      </c>
      <c r="M56" s="28">
        <f t="shared" ca="1" si="5"/>
        <v>51.250937035612601</v>
      </c>
      <c r="N56" s="28">
        <f t="shared" ca="1" si="6"/>
        <v>35.358184390851541</v>
      </c>
      <c r="O56" s="28">
        <f t="shared" ca="1" si="7"/>
        <v>41.65586889738168</v>
      </c>
    </row>
    <row r="57" spans="1:15" x14ac:dyDescent="0.25">
      <c r="A57" s="11">
        <v>55</v>
      </c>
      <c r="B57" s="4">
        <v>44005</v>
      </c>
      <c r="C57" s="24">
        <v>80.6875</v>
      </c>
      <c r="D57" s="24">
        <v>41.956899999999997</v>
      </c>
      <c r="E57" s="24">
        <v>46.875</v>
      </c>
      <c r="F57" s="26">
        <f t="shared" si="0"/>
        <v>7.6730608840700584E-2</v>
      </c>
      <c r="G57" s="26">
        <f t="shared" si="1"/>
        <v>1.5989209765452834E-2</v>
      </c>
      <c r="H57" s="26">
        <f t="shared" si="2"/>
        <v>1.3513513513513514E-2</v>
      </c>
      <c r="K57" s="10">
        <v>50</v>
      </c>
      <c r="L57" s="10">
        <f ca="1">_xll.RiskDuniform($A$3:$A$64)</f>
        <v>53</v>
      </c>
      <c r="M57" s="28">
        <f t="shared" ca="1" si="5"/>
        <v>52.045525206707374</v>
      </c>
      <c r="N57" s="28">
        <f t="shared" ca="1" si="6"/>
        <v>35.063487856178362</v>
      </c>
      <c r="O57" s="28">
        <f t="shared" ca="1" si="7"/>
        <v>40.62397644751173</v>
      </c>
    </row>
    <row r="58" spans="1:15" x14ac:dyDescent="0.25">
      <c r="A58" s="11">
        <v>56</v>
      </c>
      <c r="B58" s="4">
        <v>44006</v>
      </c>
      <c r="C58" s="24">
        <v>79.875</v>
      </c>
      <c r="D58" s="24">
        <v>42.617100000000001</v>
      </c>
      <c r="E58" s="24">
        <v>45.75</v>
      </c>
      <c r="F58" s="26">
        <f t="shared" si="0"/>
        <v>-1.0069713400464756E-2</v>
      </c>
      <c r="G58" s="26">
        <f t="shared" si="1"/>
        <v>1.5735194926221985E-2</v>
      </c>
      <c r="H58" s="26">
        <f t="shared" si="2"/>
        <v>-2.4E-2</v>
      </c>
      <c r="K58" s="10">
        <v>51</v>
      </c>
      <c r="L58" s="10">
        <f ca="1">_xll.RiskDuniform($A$3:$A$64)</f>
        <v>27</v>
      </c>
      <c r="M58" s="28">
        <f t="shared" ca="1" si="5"/>
        <v>53.372464942855714</v>
      </c>
      <c r="N58" s="28">
        <f t="shared" ca="1" si="6"/>
        <v>35.524873443151598</v>
      </c>
      <c r="O58" s="28">
        <f t="shared" ca="1" si="7"/>
        <v>39.980312063805023</v>
      </c>
    </row>
    <row r="59" spans="1:15" x14ac:dyDescent="0.25">
      <c r="A59" s="11">
        <v>57</v>
      </c>
      <c r="B59" s="4">
        <v>44007</v>
      </c>
      <c r="C59" s="24">
        <v>77.6875</v>
      </c>
      <c r="D59" s="24">
        <v>42.677199999999999</v>
      </c>
      <c r="E59" s="24">
        <v>45.875</v>
      </c>
      <c r="F59" s="26">
        <f t="shared" si="0"/>
        <v>-2.7386541471048513E-2</v>
      </c>
      <c r="G59" s="26">
        <f t="shared" si="1"/>
        <v>1.4102320430061756E-3</v>
      </c>
      <c r="H59" s="26">
        <f t="shared" si="2"/>
        <v>2.7322404371584699E-3</v>
      </c>
      <c r="K59" s="10">
        <v>52</v>
      </c>
      <c r="L59" s="10">
        <f ca="1">_xll.RiskDuniform($A$3:$A$64)</f>
        <v>56</v>
      </c>
      <c r="M59" s="28">
        <f t="shared" ca="1" si="5"/>
        <v>52.835019517404803</v>
      </c>
      <c r="N59" s="28">
        <f t="shared" ca="1" si="6"/>
        <v>36.083864251508949</v>
      </c>
      <c r="O59" s="28">
        <f t="shared" ca="1" si="7"/>
        <v>39.020784574273705</v>
      </c>
    </row>
    <row r="60" spans="1:15" x14ac:dyDescent="0.25">
      <c r="A60" s="11">
        <v>58</v>
      </c>
      <c r="B60" s="4">
        <v>44008</v>
      </c>
      <c r="C60" s="24">
        <v>79.5</v>
      </c>
      <c r="D60" s="24">
        <v>41.176600000000001</v>
      </c>
      <c r="E60" s="24">
        <v>46.25</v>
      </c>
      <c r="F60" s="26">
        <f t="shared" si="0"/>
        <v>2.3330651649235722E-2</v>
      </c>
      <c r="G60" s="26">
        <f t="shared" si="1"/>
        <v>-3.5161631972106852E-2</v>
      </c>
      <c r="H60" s="26">
        <f t="shared" si="2"/>
        <v>8.1743869209809257E-3</v>
      </c>
      <c r="K60" s="10">
        <v>53</v>
      </c>
      <c r="L60" s="10">
        <f ca="1">_xll.RiskDuniform($A$3:$A$64)</f>
        <v>14</v>
      </c>
      <c r="M60" s="28">
        <f t="shared" ca="1" si="5"/>
        <v>44.593927795370952</v>
      </c>
      <c r="N60" s="28">
        <f t="shared" ca="1" si="6"/>
        <v>36.206571579080595</v>
      </c>
      <c r="O60" s="28">
        <f t="shared" ca="1" si="7"/>
        <v>40.901307717968812</v>
      </c>
    </row>
    <row r="61" spans="1:15" x14ac:dyDescent="0.25">
      <c r="A61" s="11">
        <v>59</v>
      </c>
      <c r="B61" s="4">
        <v>44009</v>
      </c>
      <c r="C61" s="24">
        <v>78.8125</v>
      </c>
      <c r="D61" s="24">
        <v>41.176600000000001</v>
      </c>
      <c r="E61" s="24">
        <v>47</v>
      </c>
      <c r="F61" s="26">
        <f t="shared" si="0"/>
        <v>-8.6477987421383646E-3</v>
      </c>
      <c r="G61" s="26">
        <f t="shared" si="1"/>
        <v>0</v>
      </c>
      <c r="H61" s="26">
        <f t="shared" si="2"/>
        <v>1.6216216216216217E-2</v>
      </c>
      <c r="K61" s="10">
        <v>54</v>
      </c>
      <c r="L61" s="10">
        <f ca="1">_xll.RiskDuniform($A$3:$A$64)</f>
        <v>17</v>
      </c>
      <c r="M61" s="28">
        <f t="shared" ca="1" si="5"/>
        <v>45.782552709034327</v>
      </c>
      <c r="N61" s="28">
        <f t="shared" ca="1" si="6"/>
        <v>36.28888738257168</v>
      </c>
      <c r="O61" s="28">
        <f t="shared" ca="1" si="7"/>
        <v>40.196146867783057</v>
      </c>
    </row>
    <row r="62" spans="1:15" x14ac:dyDescent="0.25">
      <c r="A62" s="11">
        <v>60</v>
      </c>
      <c r="B62" s="4">
        <v>44010</v>
      </c>
      <c r="C62" s="24">
        <v>78.9375</v>
      </c>
      <c r="D62" s="24">
        <v>42.256999999999998</v>
      </c>
      <c r="E62" s="24">
        <v>46.484400000000001</v>
      </c>
      <c r="F62" s="26">
        <f t="shared" si="0"/>
        <v>1.5860428231562252E-3</v>
      </c>
      <c r="G62" s="26">
        <f t="shared" si="1"/>
        <v>2.6238203251361145E-2</v>
      </c>
      <c r="H62" s="26">
        <f t="shared" si="2"/>
        <v>-1.0970212765957429E-2</v>
      </c>
      <c r="K62" s="10">
        <v>55</v>
      </c>
      <c r="L62" s="10">
        <f ca="1">_xll.RiskDuniform($A$3:$A$64)</f>
        <v>21</v>
      </c>
      <c r="M62" s="28">
        <f t="shared" ca="1" si="5"/>
        <v>46.233007163237701</v>
      </c>
      <c r="N62" s="28">
        <f t="shared" ca="1" si="6"/>
        <v>36.161090121342816</v>
      </c>
      <c r="O62" s="28">
        <f t="shared" ca="1" si="7"/>
        <v>39.962119499235833</v>
      </c>
    </row>
    <row r="63" spans="1:15" x14ac:dyDescent="0.25">
      <c r="A63" s="11">
        <v>61</v>
      </c>
      <c r="B63" s="4">
        <v>44011</v>
      </c>
      <c r="C63" s="24">
        <v>77.1875</v>
      </c>
      <c r="D63" s="24">
        <v>43.25</v>
      </c>
      <c r="E63" s="24">
        <v>46.234400000000001</v>
      </c>
      <c r="F63" s="26">
        <f t="shared" si="0"/>
        <v>-2.2169437846397466E-2</v>
      </c>
      <c r="G63" s="26">
        <f t="shared" si="1"/>
        <v>2.3499065243628325E-2</v>
      </c>
      <c r="H63" s="26">
        <f t="shared" si="2"/>
        <v>-5.3781483680546589E-3</v>
      </c>
      <c r="K63" s="10">
        <v>56</v>
      </c>
      <c r="L63" s="10">
        <f ca="1">_xll.RiskDuniform($A$3:$A$64)</f>
        <v>1</v>
      </c>
      <c r="M63" s="28">
        <f t="shared" ca="1" si="5"/>
        <v>45.056513858533577</v>
      </c>
      <c r="N63" s="28">
        <f t="shared" ca="1" si="6"/>
        <v>37.748004201098851</v>
      </c>
      <c r="O63" s="28">
        <f t="shared" ca="1" si="7"/>
        <v>41.802388067823934</v>
      </c>
    </row>
    <row r="64" spans="1:15" x14ac:dyDescent="0.25">
      <c r="A64" s="5">
        <v>62</v>
      </c>
      <c r="B64" s="4">
        <v>44012</v>
      </c>
      <c r="C64" s="25">
        <v>80</v>
      </c>
      <c r="D64" s="25">
        <v>43</v>
      </c>
      <c r="E64" s="25">
        <v>48</v>
      </c>
      <c r="F64" s="27">
        <f t="shared" si="0"/>
        <v>3.643724696356275E-2</v>
      </c>
      <c r="G64" s="27">
        <f t="shared" si="1"/>
        <v>-5.7803468208092483E-3</v>
      </c>
      <c r="H64" s="27">
        <f t="shared" si="2"/>
        <v>3.8188015849670354E-2</v>
      </c>
      <c r="K64" s="10">
        <v>57</v>
      </c>
      <c r="L64" s="10">
        <f ca="1">_xll.RiskDuniform($A$3:$A$64)</f>
        <v>24</v>
      </c>
      <c r="M64" s="28">
        <f t="shared" ca="1" si="5"/>
        <v>44.225066766240779</v>
      </c>
      <c r="N64" s="28">
        <f t="shared" ca="1" si="6"/>
        <v>38.23884332749379</v>
      </c>
      <c r="O64" s="28">
        <f t="shared" ca="1" si="7"/>
        <v>43.207536383670416</v>
      </c>
    </row>
    <row r="65" spans="2:15" x14ac:dyDescent="0.25">
      <c r="B65" s="18"/>
      <c r="K65" s="10">
        <v>58</v>
      </c>
      <c r="L65" s="10">
        <f ca="1">_xll.RiskDuniform($A$3:$A$64)</f>
        <v>19</v>
      </c>
      <c r="M65" s="28">
        <f t="shared" ca="1" si="5"/>
        <v>46.563130331839531</v>
      </c>
      <c r="N65" s="28">
        <f t="shared" ca="1" si="6"/>
        <v>37.758650630310306</v>
      </c>
      <c r="O65" s="28">
        <f t="shared" ca="1" si="7"/>
        <v>42.886995634765327</v>
      </c>
    </row>
    <row r="66" spans="2:15" hidden="1" x14ac:dyDescent="0.25">
      <c r="B66" s="18"/>
      <c r="K66" s="10">
        <v>59</v>
      </c>
      <c r="L66" s="10">
        <f ca="1">_xll.RiskDuniform($A$3:$A$64)</f>
        <v>12</v>
      </c>
      <c r="M66" s="28">
        <f t="shared" ca="1" si="5"/>
        <v>45.479426755458476</v>
      </c>
      <c r="N66" s="28">
        <f t="shared" ca="1" si="6"/>
        <v>37.502933018781476</v>
      </c>
      <c r="O66" s="28">
        <f t="shared" ca="1" si="7"/>
        <v>44.784066863189096</v>
      </c>
    </row>
    <row r="67" spans="2:15" hidden="1" x14ac:dyDescent="0.25">
      <c r="B67" s="18"/>
      <c r="K67" s="10">
        <v>60</v>
      </c>
      <c r="L67" s="10">
        <f ca="1">_xll.RiskDuniform($A$3:$A$64)</f>
        <v>38</v>
      </c>
      <c r="M67" s="28">
        <f t="shared" ca="1" si="5"/>
        <v>45.433207825828944</v>
      </c>
      <c r="N67" s="28">
        <f t="shared" ca="1" si="6"/>
        <v>35.65319427445953</v>
      </c>
      <c r="O67" s="28">
        <f t="shared" ca="1" si="7"/>
        <v>44.263013943372599</v>
      </c>
    </row>
    <row r="68" spans="2:15" hidden="1" x14ac:dyDescent="0.25">
      <c r="B68" s="18"/>
      <c r="K68" s="10">
        <v>61</v>
      </c>
      <c r="L68" s="10">
        <f ca="1">_xll.RiskDuniform($A$3:$A$64)</f>
        <v>57</v>
      </c>
      <c r="M68" s="28">
        <f t="shared" ca="1" si="5"/>
        <v>44.188949395544114</v>
      </c>
      <c r="N68" s="28">
        <f t="shared" ca="1" si="6"/>
        <v>35.703473551460903</v>
      </c>
      <c r="O68" s="28">
        <f t="shared" ca="1" si="7"/>
        <v>44.383951139939185</v>
      </c>
    </row>
    <row r="69" spans="2:15" hidden="1" x14ac:dyDescent="0.25">
      <c r="B69" s="18"/>
      <c r="K69" s="10">
        <v>62</v>
      </c>
      <c r="L69" s="10">
        <f ca="1">_xll.RiskDuniform($A$3:$A$64)</f>
        <v>27</v>
      </c>
      <c r="M69" s="28">
        <f t="shared" ca="1" si="5"/>
        <v>45.315579833390842</v>
      </c>
      <c r="N69" s="28">
        <f t="shared" ca="1" si="6"/>
        <v>36.173280439158233</v>
      </c>
      <c r="O69" s="28">
        <f t="shared" ca="1" si="7"/>
        <v>43.68071204186937</v>
      </c>
    </row>
    <row r="70" spans="2:15" hidden="1" x14ac:dyDescent="0.25">
      <c r="B70" s="18"/>
      <c r="K70" s="10">
        <v>63</v>
      </c>
      <c r="L70" s="10">
        <f ca="1">_xll.RiskDuniform($A$3:$A$64)</f>
        <v>54</v>
      </c>
      <c r="M70" s="28">
        <f t="shared" ca="1" si="5"/>
        <v>46.084291959487373</v>
      </c>
      <c r="N70" s="28">
        <f t="shared" ca="1" si="6"/>
        <v>34.856068361529495</v>
      </c>
      <c r="O70" s="28">
        <f t="shared" ca="1" si="7"/>
        <v>43.213538651047237</v>
      </c>
    </row>
    <row r="71" spans="2:15" hidden="1" x14ac:dyDescent="0.25">
      <c r="B71" s="18"/>
      <c r="K71" s="10">
        <v>64</v>
      </c>
      <c r="L71" s="10">
        <f ca="1">_xll.RiskDuniform($A$3:$A$64)</f>
        <v>54</v>
      </c>
      <c r="M71" s="28">
        <f t="shared" ca="1" si="5"/>
        <v>46.866044155577065</v>
      </c>
      <c r="N71" s="28">
        <f t="shared" ca="1" si="6"/>
        <v>33.58682118054233</v>
      </c>
      <c r="O71" s="28">
        <f t="shared" ca="1" si="7"/>
        <v>42.751361767078812</v>
      </c>
    </row>
    <row r="72" spans="2:15" hidden="1" x14ac:dyDescent="0.25">
      <c r="B72" s="18"/>
      <c r="K72" s="10">
        <v>65</v>
      </c>
      <c r="L72" s="10">
        <f ca="1">_xll.RiskDuniform($A$3:$A$64)</f>
        <v>39</v>
      </c>
      <c r="M72" s="28">
        <f t="shared" ca="1" si="5"/>
        <v>48.344017063840425</v>
      </c>
      <c r="N72" s="28">
        <f t="shared" ref="N72:N103" ca="1" si="8">N71*(1+VLOOKUP(L72,Lookup,N$5))</f>
        <v>34.196743790995711</v>
      </c>
      <c r="O72" s="28">
        <f t="shared" ref="O72:O103" ca="1" si="9">O71*(1+VLOOKUP(L72,Lookup,O$5))</f>
        <v>41.863175580782162</v>
      </c>
    </row>
    <row r="73" spans="2:15" hidden="1" x14ac:dyDescent="0.25">
      <c r="B73" s="18"/>
      <c r="K73" s="10">
        <v>66</v>
      </c>
      <c r="L73" s="10">
        <f ca="1">_xll.RiskDuniform($A$3:$A$64)</f>
        <v>48</v>
      </c>
      <c r="M73" s="28">
        <f t="shared" ref="M73:M133" ca="1" si="10">M72*(1+VLOOKUP(L73,Lookup,M$5))</f>
        <v>46.982832205548824</v>
      </c>
      <c r="N73" s="28">
        <f t="shared" ca="1" si="8"/>
        <v>34.368158366662122</v>
      </c>
      <c r="O73" s="28">
        <f t="shared" ca="1" si="9"/>
        <v>40.384313399939316</v>
      </c>
    </row>
    <row r="74" spans="2:15" hidden="1" x14ac:dyDescent="0.25">
      <c r="B74" s="18"/>
      <c r="K74" s="10">
        <v>67</v>
      </c>
      <c r="L74" s="10">
        <f ca="1">_xll.RiskDuniform($A$3:$A$64)</f>
        <v>19</v>
      </c>
      <c r="M74" s="28">
        <f t="shared" ca="1" si="10"/>
        <v>49.466691614265116</v>
      </c>
      <c r="N74" s="28">
        <f t="shared" ca="1" si="8"/>
        <v>33.936572648391959</v>
      </c>
      <c r="O74" s="28">
        <f t="shared" ca="1" si="9"/>
        <v>40.084717099278059</v>
      </c>
    </row>
    <row r="75" spans="2:15" hidden="1" x14ac:dyDescent="0.25">
      <c r="B75" s="18"/>
      <c r="K75" s="10">
        <v>68</v>
      </c>
      <c r="L75" s="10">
        <f ca="1">_xll.RiskDuniform($A$3:$A$64)</f>
        <v>25</v>
      </c>
      <c r="M75" s="28">
        <f t="shared" ca="1" si="10"/>
        <v>48.049561684402555</v>
      </c>
      <c r="N75" s="28">
        <f t="shared" ca="1" si="8"/>
        <v>33.619774039785199</v>
      </c>
      <c r="O75" s="28">
        <f t="shared" ca="1" si="9"/>
        <v>38.856967536771663</v>
      </c>
    </row>
    <row r="76" spans="2:15" hidden="1" x14ac:dyDescent="0.25">
      <c r="B76" s="18"/>
      <c r="K76" s="10">
        <v>69</v>
      </c>
      <c r="L76" s="10">
        <f ca="1">_xll.RiskDuniform($A$3:$A$64)</f>
        <v>62</v>
      </c>
      <c r="M76" s="28">
        <f t="shared" ca="1" si="10"/>
        <v>49.800355429988073</v>
      </c>
      <c r="N76" s="28">
        <f t="shared" ca="1" si="8"/>
        <v>33.425440085798002</v>
      </c>
      <c r="O76" s="28">
        <f t="shared" ca="1" si="9"/>
        <v>40.340838028936027</v>
      </c>
    </row>
    <row r="77" spans="2:15" hidden="1" x14ac:dyDescent="0.25">
      <c r="B77" s="18"/>
      <c r="K77" s="10">
        <v>70</v>
      </c>
      <c r="L77" s="10">
        <f ca="1">_xll.RiskDuniform($A$3:$A$64)</f>
        <v>8</v>
      </c>
      <c r="M77" s="28">
        <f t="shared" ca="1" si="10"/>
        <v>49.721929673405413</v>
      </c>
      <c r="N77" s="28">
        <f t="shared" ca="1" si="8"/>
        <v>33.931862330639426</v>
      </c>
      <c r="O77" s="28">
        <f t="shared" ca="1" si="9"/>
        <v>39.591508879669874</v>
      </c>
    </row>
    <row r="78" spans="2:15" hidden="1" x14ac:dyDescent="0.25">
      <c r="B78" s="18"/>
      <c r="K78" s="10">
        <v>71</v>
      </c>
      <c r="L78" s="10">
        <f ca="1">_xll.RiskDuniform($A$3:$A$64)</f>
        <v>10</v>
      </c>
      <c r="M78" s="28">
        <f t="shared" ca="1" si="10"/>
        <v>50.895803223873671</v>
      </c>
      <c r="N78" s="28">
        <f t="shared" ca="1" si="8"/>
        <v>37.057210334145275</v>
      </c>
      <c r="O78" s="28">
        <f t="shared" ca="1" si="9"/>
        <v>39.656756681750799</v>
      </c>
    </row>
    <row r="79" spans="2:15" hidden="1" x14ac:dyDescent="0.25">
      <c r="B79" s="18"/>
      <c r="K79" s="10">
        <v>72</v>
      </c>
      <c r="L79" s="10">
        <f ca="1">_xll.RiskDuniform($A$3:$A$64)</f>
        <v>31</v>
      </c>
      <c r="M79" s="28">
        <f t="shared" ca="1" si="10"/>
        <v>49.568484614617972</v>
      </c>
      <c r="N79" s="28">
        <f t="shared" ca="1" si="8"/>
        <v>36.491128537300419</v>
      </c>
      <c r="O79" s="28">
        <f t="shared" ca="1" si="9"/>
        <v>40.102338217500808</v>
      </c>
    </row>
    <row r="80" spans="2:15" hidden="1" x14ac:dyDescent="0.25">
      <c r="B80" s="18"/>
      <c r="K80" s="10">
        <v>73</v>
      </c>
      <c r="L80" s="10">
        <f ca="1">_xll.RiskDuniform($A$3:$A$64)</f>
        <v>24</v>
      </c>
      <c r="M80" s="28">
        <f t="shared" ca="1" si="10"/>
        <v>48.653776199058235</v>
      </c>
      <c r="N80" s="28">
        <f t="shared" ca="1" si="8"/>
        <v>36.965624448580741</v>
      </c>
      <c r="O80" s="28">
        <f t="shared" ca="1" si="9"/>
        <v>41.450340942043731</v>
      </c>
    </row>
    <row r="81" spans="2:15" hidden="1" x14ac:dyDescent="0.25">
      <c r="B81" s="18"/>
      <c r="K81" s="10">
        <v>74</v>
      </c>
      <c r="L81" s="10">
        <f ca="1">_xll.RiskDuniform($A$3:$A$64)</f>
        <v>31</v>
      </c>
      <c r="M81" s="28">
        <f t="shared" ca="1" si="10"/>
        <v>47.384927719046829</v>
      </c>
      <c r="N81" s="28">
        <f t="shared" ca="1" si="8"/>
        <v>36.40094170747156</v>
      </c>
      <c r="O81" s="28">
        <f t="shared" ca="1" si="9"/>
        <v>41.91607510993186</v>
      </c>
    </row>
    <row r="82" spans="2:15" hidden="1" x14ac:dyDescent="0.25">
      <c r="B82" s="18"/>
      <c r="K82" s="10">
        <v>75</v>
      </c>
      <c r="L82" s="10">
        <f ca="1">_xll.RiskDuniform($A$3:$A$64)</f>
        <v>27</v>
      </c>
      <c r="M82" s="28">
        <f t="shared" ca="1" si="10"/>
        <v>48.593042023498441</v>
      </c>
      <c r="N82" s="28">
        <f t="shared" ca="1" si="8"/>
        <v>36.879926283249326</v>
      </c>
      <c r="O82" s="28">
        <f t="shared" ca="1" si="9"/>
        <v>41.251938139295866</v>
      </c>
    </row>
    <row r="83" spans="2:15" hidden="1" x14ac:dyDescent="0.25">
      <c r="B83" s="18"/>
      <c r="K83" s="10">
        <v>76</v>
      </c>
      <c r="L83" s="10">
        <f ca="1">_xll.RiskDuniform($A$3:$A$64)</f>
        <v>4</v>
      </c>
      <c r="M83" s="28">
        <f t="shared" ca="1" si="10"/>
        <v>50.32346285137011</v>
      </c>
      <c r="N83" s="28">
        <f t="shared" ca="1" si="8"/>
        <v>35.541365066230313</v>
      </c>
      <c r="O83" s="28">
        <f t="shared" ca="1" si="9"/>
        <v>41.722295171925829</v>
      </c>
    </row>
    <row r="84" spans="2:15" hidden="1" x14ac:dyDescent="0.25">
      <c r="B84" s="18"/>
      <c r="K84" s="10">
        <v>77</v>
      </c>
      <c r="L84" s="10">
        <f ca="1">_xll.RiskDuniform($A$3:$A$64)</f>
        <v>13</v>
      </c>
      <c r="M84" s="28">
        <f t="shared" ca="1" si="10"/>
        <v>50.483346768292655</v>
      </c>
      <c r="N84" s="28">
        <f t="shared" ca="1" si="8"/>
        <v>35.622168519719594</v>
      </c>
      <c r="O84" s="28">
        <f t="shared" ca="1" si="9"/>
        <v>41.911620461972305</v>
      </c>
    </row>
    <row r="85" spans="2:15" hidden="1" x14ac:dyDescent="0.25">
      <c r="B85" s="18"/>
      <c r="K85" s="10">
        <v>78</v>
      </c>
      <c r="L85" s="10">
        <f ca="1">_xll.RiskDuniform($A$3:$A$64)</f>
        <v>5</v>
      </c>
      <c r="M85" s="28">
        <f t="shared" ca="1" si="10"/>
        <v>48.782855087676481</v>
      </c>
      <c r="N85" s="28">
        <f t="shared" ca="1" si="8"/>
        <v>37.796471503969961</v>
      </c>
      <c r="O85" s="28">
        <f t="shared" ca="1" si="9"/>
        <v>42.99141531392312</v>
      </c>
    </row>
    <row r="86" spans="2:15" hidden="1" x14ac:dyDescent="0.25">
      <c r="B86" s="18"/>
      <c r="K86" s="10">
        <v>79</v>
      </c>
      <c r="L86" s="10">
        <f ca="1">_xll.RiskDuniform($A$3:$A$64)</f>
        <v>51</v>
      </c>
      <c r="M86" s="28">
        <f t="shared" ca="1" si="10"/>
        <v>50.080271446391286</v>
      </c>
      <c r="N86" s="28">
        <f t="shared" ca="1" si="8"/>
        <v>36.033996685443327</v>
      </c>
      <c r="O86" s="28">
        <f t="shared" ca="1" si="9"/>
        <v>43.366210091350922</v>
      </c>
    </row>
    <row r="87" spans="2:15" hidden="1" x14ac:dyDescent="0.25">
      <c r="B87" s="18"/>
      <c r="K87" s="10">
        <v>80</v>
      </c>
      <c r="L87" s="10">
        <f ca="1">_xll.RiskDuniform($A$3:$A$64)</f>
        <v>3</v>
      </c>
      <c r="M87" s="28">
        <f t="shared" ca="1" si="10"/>
        <v>49.862846244742698</v>
      </c>
      <c r="N87" s="28">
        <f t="shared" ca="1" si="8"/>
        <v>36.49070347389199</v>
      </c>
      <c r="O87" s="28">
        <f t="shared" ca="1" si="9"/>
        <v>43.085536117618588</v>
      </c>
    </row>
    <row r="88" spans="2:15" hidden="1" x14ac:dyDescent="0.25">
      <c r="B88" s="18"/>
      <c r="K88" s="10">
        <v>81</v>
      </c>
      <c r="L88" s="10">
        <f ca="1">_xll.RiskDuniform($A$3:$A$64)</f>
        <v>8</v>
      </c>
      <c r="M88" s="28">
        <f t="shared" ca="1" si="10"/>
        <v>49.784322077428143</v>
      </c>
      <c r="N88" s="28">
        <f t="shared" ca="1" si="8"/>
        <v>37.043566919269416</v>
      </c>
      <c r="O88" s="28">
        <f t="shared" ca="1" si="9"/>
        <v>42.285224331791696</v>
      </c>
    </row>
    <row r="89" spans="2:15" hidden="1" x14ac:dyDescent="0.25">
      <c r="B89" s="18"/>
      <c r="K89" s="10">
        <v>82</v>
      </c>
      <c r="L89" s="10">
        <f ca="1">_xll.RiskDuniform($A$3:$A$64)</f>
        <v>45</v>
      </c>
      <c r="M89" s="28">
        <f t="shared" ca="1" si="10"/>
        <v>50.409977830645367</v>
      </c>
      <c r="N89" s="28">
        <f t="shared" ca="1" si="8"/>
        <v>36.626840002180053</v>
      </c>
      <c r="O89" s="28">
        <f t="shared" ca="1" si="9"/>
        <v>42.346066381189956</v>
      </c>
    </row>
    <row r="90" spans="2:15" hidden="1" x14ac:dyDescent="0.25">
      <c r="B90" s="18"/>
      <c r="K90" s="10">
        <v>83</v>
      </c>
      <c r="L90" s="10">
        <f ca="1">_xll.RiskDuniform($A$3:$A$64)</f>
        <v>5</v>
      </c>
      <c r="M90" s="28">
        <f t="shared" ca="1" si="10"/>
        <v>48.711957524771002</v>
      </c>
      <c r="N90" s="28">
        <f t="shared" ca="1" si="8"/>
        <v>38.862466041518879</v>
      </c>
      <c r="O90" s="28">
        <f t="shared" ca="1" si="9"/>
        <v>43.437054130524629</v>
      </c>
    </row>
    <row r="91" spans="2:15" hidden="1" x14ac:dyDescent="0.25">
      <c r="B91" s="18"/>
      <c r="K91" s="10">
        <v>84</v>
      </c>
      <c r="L91" s="10">
        <f ca="1">_xll.RiskDuniform($A$3:$A$64)</f>
        <v>2</v>
      </c>
      <c r="M91" s="28">
        <f t="shared" ca="1" si="10"/>
        <v>47.508768736226905</v>
      </c>
      <c r="N91" s="28">
        <f t="shared" ca="1" si="8"/>
        <v>39.060475547967087</v>
      </c>
      <c r="O91" s="28">
        <f t="shared" ca="1" si="9"/>
        <v>42.20770767359857</v>
      </c>
    </row>
    <row r="92" spans="2:15" hidden="1" x14ac:dyDescent="0.25">
      <c r="B92" s="18"/>
      <c r="K92" s="10">
        <v>85</v>
      </c>
      <c r="L92" s="10">
        <f ca="1">_xll.RiskDuniform($A$3:$A$64)</f>
        <v>45</v>
      </c>
      <c r="M92" s="28">
        <f t="shared" ca="1" si="10"/>
        <v>48.105826871152551</v>
      </c>
      <c r="N92" s="28">
        <f t="shared" ca="1" si="8"/>
        <v>38.621059128089833</v>
      </c>
      <c r="O92" s="28">
        <f t="shared" ca="1" si="9"/>
        <v>42.268438188236836</v>
      </c>
    </row>
    <row r="93" spans="2:15" hidden="1" x14ac:dyDescent="0.25">
      <c r="B93" s="18"/>
      <c r="K93" s="10">
        <v>86</v>
      </c>
      <c r="L93" s="10">
        <f ca="1">_xll.RiskDuniform($A$3:$A$64)</f>
        <v>50</v>
      </c>
      <c r="M93" s="28">
        <f t="shared" ca="1" si="10"/>
        <v>49.966273214235798</v>
      </c>
      <c r="N93" s="28">
        <f t="shared" ca="1" si="8"/>
        <v>37.315928516740314</v>
      </c>
      <c r="O93" s="28">
        <f t="shared" ca="1" si="9"/>
        <v>42.959945625255095</v>
      </c>
    </row>
    <row r="94" spans="2:15" hidden="1" x14ac:dyDescent="0.25">
      <c r="B94" s="18"/>
      <c r="K94" s="10">
        <v>87</v>
      </c>
      <c r="L94" s="10">
        <f ca="1">_xll.RiskDuniform($A$3:$A$64)</f>
        <v>8</v>
      </c>
      <c r="M94" s="28">
        <f t="shared" ca="1" si="10"/>
        <v>49.887586169803932</v>
      </c>
      <c r="N94" s="28">
        <f t="shared" ca="1" si="8"/>
        <v>37.881294783849512</v>
      </c>
      <c r="O94" s="28">
        <f t="shared" ca="1" si="9"/>
        <v>42.161966676855407</v>
      </c>
    </row>
    <row r="95" spans="2:15" hidden="1" x14ac:dyDescent="0.25">
      <c r="B95" s="18"/>
      <c r="K95" s="10">
        <v>88</v>
      </c>
      <c r="L95" s="10">
        <f ca="1">_xll.RiskDuniform($A$3:$A$64)</f>
        <v>57</v>
      </c>
      <c r="M95" s="28">
        <f t="shared" ca="1" si="10"/>
        <v>48.52133772227409</v>
      </c>
      <c r="N95" s="28">
        <f t="shared" ca="1" si="8"/>
        <v>37.934716199584265</v>
      </c>
      <c r="O95" s="28">
        <f t="shared" ca="1" si="9"/>
        <v>42.277163307120034</v>
      </c>
    </row>
    <row r="96" spans="2:15" hidden="1" x14ac:dyDescent="0.25">
      <c r="B96" s="18"/>
      <c r="K96" s="10">
        <v>89</v>
      </c>
      <c r="L96" s="10">
        <f ca="1">_xll.RiskDuniform($A$3:$A$64)</f>
        <v>19</v>
      </c>
      <c r="M96" s="28">
        <f t="shared" ca="1" si="10"/>
        <v>51.086533892179261</v>
      </c>
      <c r="N96" s="28">
        <f t="shared" ca="1" si="8"/>
        <v>37.458342645793451</v>
      </c>
      <c r="O96" s="28">
        <f t="shared" ca="1" si="9"/>
        <v>41.963524652332751</v>
      </c>
    </row>
    <row r="97" spans="2:15" hidden="1" x14ac:dyDescent="0.25">
      <c r="B97" s="18"/>
      <c r="K97" s="10">
        <v>90</v>
      </c>
      <c r="L97" s="10">
        <f ca="1">_xll.RiskDuniform($A$3:$A$64)</f>
        <v>39</v>
      </c>
      <c r="M97" s="28">
        <f t="shared" ca="1" si="10"/>
        <v>52.697604645645747</v>
      </c>
      <c r="N97" s="28">
        <f t="shared" ca="1" si="8"/>
        <v>38.13857046512085</v>
      </c>
      <c r="O97" s="28">
        <f t="shared" ca="1" si="9"/>
        <v>41.091706273129162</v>
      </c>
    </row>
    <row r="98" spans="2:15" hidden="1" x14ac:dyDescent="0.25">
      <c r="B98" s="18"/>
      <c r="K98" s="10">
        <v>91</v>
      </c>
      <c r="L98" s="10">
        <f ca="1">_xll.RiskDuniform($A$3:$A$64)</f>
        <v>25</v>
      </c>
      <c r="M98" s="28">
        <f t="shared" ca="1" si="10"/>
        <v>51.187914987041751</v>
      </c>
      <c r="N98" s="28">
        <f t="shared" ca="1" si="8"/>
        <v>37.782546119858232</v>
      </c>
      <c r="O98" s="28">
        <f t="shared" ca="1" si="9"/>
        <v>39.833113770791549</v>
      </c>
    </row>
    <row r="99" spans="2:15" hidden="1" x14ac:dyDescent="0.25">
      <c r="B99" s="18"/>
      <c r="K99" s="10">
        <v>92</v>
      </c>
      <c r="L99" s="10">
        <f ca="1">_xll.RiskDuniform($A$3:$A$64)</f>
        <v>2</v>
      </c>
      <c r="M99" s="28">
        <f t="shared" ca="1" si="10"/>
        <v>49.92356987444721</v>
      </c>
      <c r="N99" s="28">
        <f t="shared" ca="1" si="8"/>
        <v>37.975053288640503</v>
      </c>
      <c r="O99" s="28">
        <f t="shared" ca="1" si="9"/>
        <v>38.705765283131491</v>
      </c>
    </row>
    <row r="100" spans="2:15" hidden="1" x14ac:dyDescent="0.25">
      <c r="B100" s="18"/>
      <c r="K100" s="10">
        <v>93</v>
      </c>
      <c r="L100" s="10">
        <f ca="1">_xll.RiskDuniform($A$3:$A$64)</f>
        <v>42</v>
      </c>
      <c r="M100" s="28">
        <f t="shared" ca="1" si="10"/>
        <v>51.276774091760402</v>
      </c>
      <c r="N100" s="28">
        <f t="shared" ca="1" si="8"/>
        <v>38.358645333698263</v>
      </c>
      <c r="O100" s="28">
        <f t="shared" ca="1" si="9"/>
        <v>37.469331114364792</v>
      </c>
    </row>
    <row r="101" spans="2:15" hidden="1" x14ac:dyDescent="0.25">
      <c r="B101" s="18"/>
      <c r="K101" s="10">
        <v>94</v>
      </c>
      <c r="L101" s="10">
        <f ca="1">_xll.RiskDuniform($A$3:$A$64)</f>
        <v>15</v>
      </c>
      <c r="M101" s="28">
        <f t="shared" ca="1" si="10"/>
        <v>53.393263829131378</v>
      </c>
      <c r="N101" s="28">
        <f t="shared" ca="1" si="8"/>
        <v>38.141928588245861</v>
      </c>
      <c r="O101" s="28">
        <f t="shared" ca="1" si="9"/>
        <v>37.415476896326908</v>
      </c>
    </row>
    <row r="102" spans="2:15" hidden="1" x14ac:dyDescent="0.25">
      <c r="B102" s="18"/>
      <c r="K102" s="10">
        <v>95</v>
      </c>
      <c r="L102" s="10">
        <f ca="1">_xll.RiskDuniform($A$3:$A$64)</f>
        <v>38</v>
      </c>
      <c r="M102" s="28">
        <f t="shared" ca="1" si="10"/>
        <v>53.339002382150554</v>
      </c>
      <c r="N102" s="28">
        <f t="shared" ca="1" si="8"/>
        <v>36.260672979317718</v>
      </c>
      <c r="O102" s="28">
        <f t="shared" ca="1" si="9"/>
        <v>36.980155925082499</v>
      </c>
    </row>
    <row r="103" spans="2:15" hidden="1" x14ac:dyDescent="0.25">
      <c r="B103" s="18"/>
      <c r="K103" s="10">
        <v>96</v>
      </c>
      <c r="L103" s="10">
        <f ca="1">_xll.RiskDuniform($A$3:$A$64)</f>
        <v>8</v>
      </c>
      <c r="M103" s="28">
        <f t="shared" ca="1" si="10"/>
        <v>53.255003953202284</v>
      </c>
      <c r="N103" s="28">
        <f t="shared" ca="1" si="8"/>
        <v>36.810051278077921</v>
      </c>
      <c r="O103" s="28">
        <f t="shared" ca="1" si="9"/>
        <v>36.293251286185424</v>
      </c>
    </row>
    <row r="104" spans="2:15" hidden="1" x14ac:dyDescent="0.25">
      <c r="B104" s="18"/>
      <c r="K104" s="10">
        <v>97</v>
      </c>
      <c r="L104" s="10">
        <f ca="1">_xll.RiskDuniform($A$3:$A$64)</f>
        <v>23</v>
      </c>
      <c r="M104" s="28">
        <f t="shared" ca="1" si="10"/>
        <v>53.774795473597344</v>
      </c>
      <c r="N104" s="28">
        <f t="shared" ref="N104:N133" ca="1" si="11">N103*(1+VLOOKUP(L104,Lookup,N$5))</f>
        <v>36.984923475351515</v>
      </c>
      <c r="O104" s="28">
        <f t="shared" ref="O104:O133" ca="1" si="12">O103*(1+VLOOKUP(L104,Lookup,O$5))</f>
        <v>37.664773743629965</v>
      </c>
    </row>
    <row r="105" spans="2:15" hidden="1" x14ac:dyDescent="0.25">
      <c r="B105" s="18"/>
      <c r="K105" s="10">
        <v>98</v>
      </c>
      <c r="L105" s="10">
        <f ca="1">_xll.RiskDuniform($A$3:$A$64)</f>
        <v>46</v>
      </c>
      <c r="M105" s="28">
        <f t="shared" ca="1" si="10"/>
        <v>52.487632815984639</v>
      </c>
      <c r="N105" s="28">
        <f t="shared" ca="1" si="11"/>
        <v>36.657599140131538</v>
      </c>
      <c r="O105" s="28">
        <f t="shared" ca="1" si="12"/>
        <v>38.314166394382205</v>
      </c>
    </row>
    <row r="106" spans="2:15" hidden="1" x14ac:dyDescent="0.25">
      <c r="B106" s="18"/>
      <c r="K106" s="10">
        <v>99</v>
      </c>
      <c r="L106" s="10">
        <f ca="1">_xll.RiskDuniform($A$3:$A$64)</f>
        <v>14</v>
      </c>
      <c r="M106" s="28">
        <f t="shared" ca="1" si="10"/>
        <v>44.30072571800445</v>
      </c>
      <c r="N106" s="28">
        <f t="shared" ca="1" si="11"/>
        <v>36.782257519132344</v>
      </c>
      <c r="O106" s="28">
        <f t="shared" ca="1" si="12"/>
        <v>40.160635588226249</v>
      </c>
    </row>
    <row r="107" spans="2:15" hidden="1" x14ac:dyDescent="0.25">
      <c r="B107" s="18"/>
      <c r="K107" s="10">
        <v>100</v>
      </c>
      <c r="L107" s="10">
        <f ca="1">_xll.RiskDuniform($A$3:$A$64)</f>
        <v>20</v>
      </c>
      <c r="M107" s="28">
        <f t="shared" ca="1" si="10"/>
        <v>42.15166923636508</v>
      </c>
      <c r="N107" s="28">
        <f t="shared" ca="1" si="11"/>
        <v>36.229470577030433</v>
      </c>
      <c r="O107" s="28">
        <f t="shared" ca="1" si="12"/>
        <v>41.2411864902787</v>
      </c>
    </row>
    <row r="108" spans="2:15" hidden="1" x14ac:dyDescent="0.25">
      <c r="B108" s="18"/>
      <c r="K108" s="10">
        <v>101</v>
      </c>
      <c r="L108" s="10">
        <f ca="1">_xll.RiskDuniform($A$3:$A$64)</f>
        <v>49</v>
      </c>
      <c r="M108" s="28">
        <f t="shared" ca="1" si="10"/>
        <v>42.78197457074063</v>
      </c>
      <c r="N108" s="28">
        <f t="shared" ca="1" si="11"/>
        <v>36.093928221892575</v>
      </c>
      <c r="O108" s="28">
        <f t="shared" ca="1" si="12"/>
        <v>42.606258145871294</v>
      </c>
    </row>
    <row r="109" spans="2:15" hidden="1" x14ac:dyDescent="0.25">
      <c r="B109" s="18"/>
      <c r="K109" s="10">
        <v>102</v>
      </c>
      <c r="L109" s="10">
        <f ca="1">_xll.RiskDuniform($A$3:$A$64)</f>
        <v>14</v>
      </c>
      <c r="M109" s="28">
        <f t="shared" ca="1" si="10"/>
        <v>36.10893499003128</v>
      </c>
      <c r="N109" s="28">
        <f t="shared" ca="1" si="11"/>
        <v>36.216669773152184</v>
      </c>
      <c r="O109" s="28">
        <f t="shared" ca="1" si="12"/>
        <v>44.659575509520195</v>
      </c>
    </row>
    <row r="110" spans="2:15" hidden="1" x14ac:dyDescent="0.25">
      <c r="B110" s="18"/>
      <c r="K110" s="10">
        <v>103</v>
      </c>
      <c r="L110" s="10">
        <f ca="1">_xll.RiskDuniform($A$3:$A$64)</f>
        <v>16</v>
      </c>
      <c r="M110" s="28">
        <f t="shared" ca="1" si="10"/>
        <v>35.393262404643274</v>
      </c>
      <c r="N110" s="28">
        <f t="shared" ca="1" si="11"/>
        <v>36.216669773152184</v>
      </c>
      <c r="O110" s="28">
        <f t="shared" ca="1" si="12"/>
        <v>44.723856569564759</v>
      </c>
    </row>
    <row r="111" spans="2:15" hidden="1" x14ac:dyDescent="0.25">
      <c r="B111" s="18"/>
      <c r="K111" s="10">
        <v>104</v>
      </c>
      <c r="L111" s="10">
        <f ca="1">_xll.RiskDuniform($A$3:$A$64)</f>
        <v>51</v>
      </c>
      <c r="M111" s="28">
        <f t="shared" ca="1" si="10"/>
        <v>36.334572574979532</v>
      </c>
      <c r="N111" s="28">
        <f t="shared" ca="1" si="11"/>
        <v>34.527862168998681</v>
      </c>
      <c r="O111" s="28">
        <f t="shared" ca="1" si="12"/>
        <v>45.113754593305195</v>
      </c>
    </row>
    <row r="112" spans="2:15" hidden="1" x14ac:dyDescent="0.25">
      <c r="B112" s="18"/>
      <c r="K112" s="10">
        <v>105</v>
      </c>
      <c r="L112" s="10">
        <f ca="1">_xll.RiskDuniform($A$3:$A$64)</f>
        <v>53</v>
      </c>
      <c r="M112" s="28">
        <f t="shared" ca="1" si="10"/>
        <v>36.897899281568364</v>
      </c>
      <c r="N112" s="28">
        <f t="shared" ca="1" si="11"/>
        <v>34.240086042871859</v>
      </c>
      <c r="O112" s="28">
        <f t="shared" ca="1" si="12"/>
        <v>43.996203958008195</v>
      </c>
    </row>
    <row r="113" spans="2:15" hidden="1" x14ac:dyDescent="0.25">
      <c r="B113" s="18"/>
      <c r="K113" s="10">
        <v>106</v>
      </c>
      <c r="L113" s="10">
        <f ca="1">_xll.RiskDuniform($A$3:$A$64)</f>
        <v>60</v>
      </c>
      <c r="M113" s="28">
        <f t="shared" ca="1" si="10"/>
        <v>36.956420929913435</v>
      </c>
      <c r="N113" s="28">
        <f t="shared" ca="1" si="11"/>
        <v>35.138484379808823</v>
      </c>
      <c r="O113" s="28">
        <f t="shared" ca="1" si="12"/>
        <v>43.513556239694388</v>
      </c>
    </row>
    <row r="114" spans="2:15" hidden="1" x14ac:dyDescent="0.25">
      <c r="B114" s="18"/>
      <c r="K114" s="10">
        <v>107</v>
      </c>
      <c r="L114" s="10">
        <f ca="1">_xll.RiskDuniform($A$3:$A$64)</f>
        <v>48</v>
      </c>
      <c r="M114" s="28">
        <f t="shared" ca="1" si="10"/>
        <v>35.915867752050296</v>
      </c>
      <c r="N114" s="28">
        <f t="shared" ca="1" si="11"/>
        <v>35.314619523737697</v>
      </c>
      <c r="O114" s="28">
        <f t="shared" ca="1" si="12"/>
        <v>41.976392568183442</v>
      </c>
    </row>
    <row r="115" spans="2:15" hidden="1" x14ac:dyDescent="0.25">
      <c r="B115" s="18"/>
      <c r="K115" s="10">
        <v>108</v>
      </c>
      <c r="L115" s="10">
        <f ca="1">_xll.RiskDuniform($A$3:$A$64)</f>
        <v>21</v>
      </c>
      <c r="M115" s="28">
        <f t="shared" ca="1" si="10"/>
        <v>36.269243910612502</v>
      </c>
      <c r="N115" s="28">
        <f t="shared" ca="1" si="11"/>
        <v>35.190253306363928</v>
      </c>
      <c r="O115" s="28">
        <f t="shared" ca="1" si="12"/>
        <v>41.732000369942405</v>
      </c>
    </row>
    <row r="116" spans="2:15" hidden="1" x14ac:dyDescent="0.25">
      <c r="B116" s="18"/>
      <c r="K116" s="10">
        <v>109</v>
      </c>
      <c r="L116" s="10">
        <f ca="1">_xll.RiskDuniform($A$3:$A$64)</f>
        <v>60</v>
      </c>
      <c r="M116" s="28">
        <f t="shared" ca="1" si="10"/>
        <v>36.326768484618235</v>
      </c>
      <c r="N116" s="28">
        <f t="shared" ca="1" si="11"/>
        <v>36.113582325083186</v>
      </c>
      <c r="O116" s="28">
        <f t="shared" ca="1" si="12"/>
        <v>41.274191446735124</v>
      </c>
    </row>
    <row r="117" spans="2:15" hidden="1" x14ac:dyDescent="0.25">
      <c r="B117" s="18"/>
      <c r="K117" s="10">
        <v>110</v>
      </c>
      <c r="L117" s="10">
        <f ca="1">_xll.RiskDuniform($A$3:$A$64)</f>
        <v>2</v>
      </c>
      <c r="M117" s="28">
        <f t="shared" ca="1" si="10"/>
        <v>35.429494739408888</v>
      </c>
      <c r="N117" s="28">
        <f t="shared" ca="1" si="11"/>
        <v>36.297585898212766</v>
      </c>
      <c r="O117" s="28">
        <f t="shared" ca="1" si="12"/>
        <v>40.106057878904728</v>
      </c>
    </row>
    <row r="118" spans="2:15" hidden="1" x14ac:dyDescent="0.25">
      <c r="B118" s="18"/>
      <c r="K118" s="10">
        <v>111</v>
      </c>
      <c r="L118" s="10">
        <f ca="1">_xll.RiskDuniform($A$3:$A$64)</f>
        <v>53</v>
      </c>
      <c r="M118" s="28">
        <f t="shared" ca="1" si="10"/>
        <v>35.978789231492748</v>
      </c>
      <c r="N118" s="28">
        <f t="shared" ca="1" si="11"/>
        <v>35.99505982212915</v>
      </c>
      <c r="O118" s="28">
        <f t="shared" ca="1" si="12"/>
        <v>39.112557097028343</v>
      </c>
    </row>
    <row r="119" spans="2:15" hidden="1" x14ac:dyDescent="0.25">
      <c r="B119" s="18"/>
      <c r="K119" s="10">
        <v>112</v>
      </c>
      <c r="L119" s="10">
        <f ca="1">_xll.RiskDuniform($A$3:$A$64)</f>
        <v>27</v>
      </c>
      <c r="M119" s="28">
        <f t="shared" ca="1" si="10"/>
        <v>36.896095472522305</v>
      </c>
      <c r="N119" s="28">
        <f t="shared" ca="1" si="11"/>
        <v>36.468703570072599</v>
      </c>
      <c r="O119" s="28">
        <f t="shared" ca="1" si="12"/>
        <v>38.492840314955565</v>
      </c>
    </row>
    <row r="120" spans="2:15" hidden="1" x14ac:dyDescent="0.25">
      <c r="B120" s="18"/>
      <c r="K120" s="10">
        <v>113</v>
      </c>
      <c r="L120" s="10">
        <f ca="1">_xll.RiskDuniform($A$3:$A$64)</f>
        <v>9</v>
      </c>
      <c r="M120" s="28">
        <f t="shared" ca="1" si="10"/>
        <v>34.510070370986952</v>
      </c>
      <c r="N120" s="28">
        <f t="shared" ca="1" si="11"/>
        <v>35.003248319175476</v>
      </c>
      <c r="O120" s="28">
        <f t="shared" ca="1" si="12"/>
        <v>36.85356314691677</v>
      </c>
    </row>
    <row r="121" spans="2:15" hidden="1" x14ac:dyDescent="0.25">
      <c r="B121" s="18"/>
      <c r="K121" s="10">
        <v>114</v>
      </c>
      <c r="L121" s="10">
        <f ca="1">_xll.RiskDuniform($A$3:$A$64)</f>
        <v>60</v>
      </c>
      <c r="M121" s="28">
        <f t="shared" ca="1" si="10"/>
        <v>34.564804820425472</v>
      </c>
      <c r="N121" s="28">
        <f t="shared" ca="1" si="11"/>
        <v>35.921670663031868</v>
      </c>
      <c r="O121" s="28">
        <f t="shared" ca="1" si="12"/>
        <v>36.449271718011445</v>
      </c>
    </row>
    <row r="122" spans="2:15" hidden="1" x14ac:dyDescent="0.25">
      <c r="B122" s="18"/>
      <c r="K122" s="10">
        <v>115</v>
      </c>
      <c r="L122" s="10">
        <f ca="1">_xll.RiskDuniform($A$3:$A$64)</f>
        <v>27</v>
      </c>
      <c r="M122" s="28">
        <f t="shared" ca="1" si="10"/>
        <v>35.446060467405154</v>
      </c>
      <c r="N122" s="28">
        <f t="shared" ca="1" si="11"/>
        <v>36.394348714111771</v>
      </c>
      <c r="O122" s="28">
        <f t="shared" ca="1" si="12"/>
        <v>35.871753216166972</v>
      </c>
    </row>
    <row r="123" spans="2:15" hidden="1" x14ac:dyDescent="0.25">
      <c r="B123" s="18"/>
      <c r="K123" s="10">
        <v>116</v>
      </c>
      <c r="L123" s="10">
        <f ca="1">_xll.RiskDuniform($A$3:$A$64)</f>
        <v>23</v>
      </c>
      <c r="M123" s="28">
        <f t="shared" ca="1" si="10"/>
        <v>35.792029114380718</v>
      </c>
      <c r="N123" s="28">
        <f t="shared" ca="1" si="11"/>
        <v>36.567246048046435</v>
      </c>
      <c r="O123" s="28">
        <f t="shared" ca="1" si="12"/>
        <v>37.227347255839256</v>
      </c>
    </row>
    <row r="124" spans="2:15" hidden="1" x14ac:dyDescent="0.25">
      <c r="B124" s="18"/>
      <c r="K124" s="10">
        <v>117</v>
      </c>
      <c r="L124" s="10">
        <f ca="1">_xll.RiskDuniform($A$3:$A$64)</f>
        <v>40</v>
      </c>
      <c r="M124" s="28">
        <f t="shared" ca="1" si="10"/>
        <v>35.333156946247634</v>
      </c>
      <c r="N124" s="28">
        <f t="shared" ca="1" si="11"/>
        <v>36.19458127264221</v>
      </c>
      <c r="O124" s="28">
        <f t="shared" ca="1" si="12"/>
        <v>37.490624110548161</v>
      </c>
    </row>
    <row r="125" spans="2:15" hidden="1" x14ac:dyDescent="0.25">
      <c r="B125" s="18"/>
      <c r="K125" s="10">
        <v>118</v>
      </c>
      <c r="L125" s="10">
        <f ca="1">_xll.RiskDuniform($A$3:$A$64)</f>
        <v>26</v>
      </c>
      <c r="M125" s="28">
        <f t="shared" ca="1" si="10"/>
        <v>34.486463784402069</v>
      </c>
      <c r="N125" s="28">
        <f t="shared" ca="1" si="11"/>
        <v>35.640374940933476</v>
      </c>
      <c r="O125" s="28">
        <f t="shared" ca="1" si="12"/>
        <v>36.453572538513185</v>
      </c>
    </row>
    <row r="126" spans="2:15" hidden="1" x14ac:dyDescent="0.25">
      <c r="B126" s="18"/>
      <c r="K126" s="10">
        <v>119</v>
      </c>
      <c r="L126" s="10">
        <f ca="1">_xll.RiskDuniform($A$3:$A$64)</f>
        <v>33</v>
      </c>
      <c r="M126" s="28">
        <f t="shared" ca="1" si="10"/>
        <v>33.900291595432066</v>
      </c>
      <c r="N126" s="28">
        <f t="shared" ca="1" si="11"/>
        <v>35.515739129636501</v>
      </c>
      <c r="O126" s="28">
        <f t="shared" ca="1" si="12"/>
        <v>35.646854474037099</v>
      </c>
    </row>
    <row r="127" spans="2:15" hidden="1" x14ac:dyDescent="0.25">
      <c r="B127" s="18"/>
      <c r="K127" s="10">
        <v>120</v>
      </c>
      <c r="L127" s="10">
        <f ca="1">_xll.RiskDuniform($A$3:$A$64)</f>
        <v>2</v>
      </c>
      <c r="M127" s="28">
        <f t="shared" ca="1" si="10"/>
        <v>33.062952000626048</v>
      </c>
      <c r="N127" s="28">
        <f t="shared" ca="1" si="11"/>
        <v>35.696696611045155</v>
      </c>
      <c r="O127" s="28">
        <f t="shared" ca="1" si="12"/>
        <v>34.637984624886329</v>
      </c>
    </row>
    <row r="128" spans="2:15" hidden="1" x14ac:dyDescent="0.25">
      <c r="B128" s="18"/>
      <c r="K128" s="10">
        <v>121</v>
      </c>
      <c r="L128" s="10">
        <f ca="1">_xll.RiskDuniform($A$3:$A$64)</f>
        <v>61</v>
      </c>
      <c r="M128" s="28">
        <f t="shared" ca="1" si="10"/>
        <v>32.329964941229747</v>
      </c>
      <c r="N128" s="28">
        <f t="shared" ca="1" si="11"/>
        <v>36.535535613690115</v>
      </c>
      <c r="O128" s="28">
        <f t="shared" ca="1" si="12"/>
        <v>34.451696404403293</v>
      </c>
    </row>
    <row r="129" spans="2:15" hidden="1" x14ac:dyDescent="0.25">
      <c r="B129" s="18"/>
      <c r="K129" s="10">
        <v>122</v>
      </c>
      <c r="L129" s="10">
        <f ca="1">_xll.RiskDuniform($A$3:$A$64)</f>
        <v>6</v>
      </c>
      <c r="M129" s="28">
        <f t="shared" ca="1" si="10"/>
        <v>31.508215650784546</v>
      </c>
      <c r="N129" s="28">
        <f t="shared" ca="1" si="11"/>
        <v>37.161591856331206</v>
      </c>
      <c r="O129" s="28">
        <f t="shared" ca="1" si="12"/>
        <v>34.451696404403293</v>
      </c>
    </row>
    <row r="130" spans="2:15" hidden="1" x14ac:dyDescent="0.25">
      <c r="B130" s="18"/>
      <c r="K130" s="10">
        <v>123</v>
      </c>
      <c r="L130" s="10">
        <f ca="1">_xll.RiskDuniform($A$3:$A$64)</f>
        <v>43</v>
      </c>
      <c r="M130" s="28">
        <f t="shared" ca="1" si="10"/>
        <v>31.775486094570656</v>
      </c>
      <c r="N130" s="28">
        <f t="shared" ca="1" si="11"/>
        <v>37.626157220494278</v>
      </c>
      <c r="O130" s="28">
        <f t="shared" ca="1" si="12"/>
        <v>33.809125309342683</v>
      </c>
    </row>
    <row r="131" spans="2:15" hidden="1" x14ac:dyDescent="0.25">
      <c r="B131" s="18"/>
      <c r="K131" s="10">
        <v>124</v>
      </c>
      <c r="L131" s="10">
        <f ca="1">_xll.RiskDuniform($A$3:$A$64)</f>
        <v>28</v>
      </c>
      <c r="M131" s="28">
        <f t="shared" ca="1" si="10"/>
        <v>32.214374024053676</v>
      </c>
      <c r="N131" s="28">
        <f t="shared" ca="1" si="11"/>
        <v>37.937065819904781</v>
      </c>
      <c r="O131" s="28">
        <f t="shared" ca="1" si="12"/>
        <v>34.118452390008024</v>
      </c>
    </row>
    <row r="132" spans="2:15" hidden="1" x14ac:dyDescent="0.25">
      <c r="B132" s="18"/>
      <c r="K132" s="10">
        <v>125</v>
      </c>
      <c r="L132" s="10">
        <f ca="1">_xll.RiskDuniform($A$3:$A$64)</f>
        <v>17</v>
      </c>
      <c r="M132" s="28">
        <f t="shared" ca="1" si="10"/>
        <v>33.073029214033049</v>
      </c>
      <c r="N132" s="28">
        <f t="shared" ca="1" si="11"/>
        <v>38.023315909843255</v>
      </c>
      <c r="O132" s="28">
        <f t="shared" ca="1" si="12"/>
        <v>33.530231664640098</v>
      </c>
    </row>
    <row r="133" spans="2:15" x14ac:dyDescent="0.25">
      <c r="B133" s="18"/>
      <c r="K133" s="10">
        <v>126</v>
      </c>
      <c r="L133" s="10">
        <f ca="1">_xll.RiskDuniform($A$3:$A$64)</f>
        <v>53</v>
      </c>
      <c r="M133" s="29">
        <f t="shared" ca="1" si="10"/>
        <v>33.585789356886274</v>
      </c>
      <c r="N133" s="29">
        <f t="shared" ca="1" si="11"/>
        <v>37.706406554104007</v>
      </c>
      <c r="O133" s="29">
        <f t="shared" ca="1" si="12"/>
        <v>32.699626186637282</v>
      </c>
    </row>
    <row r="134" spans="2:15" x14ac:dyDescent="0.25">
      <c r="B134" s="18"/>
      <c r="I134" s="19" t="s">
        <v>9</v>
      </c>
      <c r="K134" s="20"/>
      <c r="L134" s="20" t="s">
        <v>7</v>
      </c>
      <c r="M134" s="21">
        <f ca="1">(M133-M7)/M7</f>
        <v>-0.5772181601600419</v>
      </c>
      <c r="N134" s="21">
        <f ca="1">(N133-N7)/N7</f>
        <v>-0.13078823065689249</v>
      </c>
      <c r="O134" s="21">
        <f ca="1">(O133-O7)/O7</f>
        <v>-0.35325106434657277</v>
      </c>
    </row>
    <row r="135" spans="2:15" x14ac:dyDescent="0.25">
      <c r="B135" s="18"/>
      <c r="I135" s="30">
        <f ca="1">_xll.RiskOutput()+SUMPRODUCT(M134:O134,M135:O135)</f>
        <v>-0.40961890383088728</v>
      </c>
      <c r="K135" s="20"/>
      <c r="L135" s="20" t="s">
        <v>8</v>
      </c>
      <c r="M135" s="20">
        <v>0.5</v>
      </c>
      <c r="N135" s="20">
        <v>0.25</v>
      </c>
      <c r="O135" s="20">
        <v>0.25</v>
      </c>
    </row>
    <row r="136" spans="2:15" x14ac:dyDescent="0.25">
      <c r="B136" s="18"/>
    </row>
    <row r="137" spans="2:15" x14ac:dyDescent="0.25">
      <c r="B137" s="18"/>
    </row>
    <row r="138" spans="2:15" x14ac:dyDescent="0.25">
      <c r="B138" s="18"/>
    </row>
    <row r="139" spans="2:15" x14ac:dyDescent="0.25">
      <c r="B139" s="18"/>
    </row>
    <row r="140" spans="2:15" x14ac:dyDescent="0.25">
      <c r="B140" s="18"/>
    </row>
    <row r="141" spans="2:15" x14ac:dyDescent="0.25">
      <c r="B141" s="18"/>
    </row>
    <row r="142" spans="2:15" x14ac:dyDescent="0.25">
      <c r="B142" s="18"/>
    </row>
    <row r="143" spans="2:15" x14ac:dyDescent="0.25">
      <c r="B143" s="18"/>
    </row>
    <row r="144" spans="2:15" x14ac:dyDescent="0.25">
      <c r="B144" s="18"/>
    </row>
    <row r="145" spans="2:133" x14ac:dyDescent="0.25">
      <c r="B145" s="18"/>
      <c r="G145" s="22"/>
    </row>
    <row r="146" spans="2:133" x14ac:dyDescent="0.25">
      <c r="B146" s="18"/>
      <c r="H146" s="22"/>
      <c r="I146" s="22"/>
      <c r="J146" s="23"/>
      <c r="K146" s="23"/>
      <c r="L146" s="23"/>
      <c r="M146" s="23"/>
      <c r="N146" s="23"/>
      <c r="O146" s="2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</row>
    <row r="147" spans="2:133" x14ac:dyDescent="0.25">
      <c r="B147" s="18"/>
    </row>
    <row r="148" spans="2:133" x14ac:dyDescent="0.25">
      <c r="B148" s="18"/>
    </row>
    <row r="149" spans="2:133" x14ac:dyDescent="0.25">
      <c r="B149" s="18"/>
    </row>
    <row r="150" spans="2:133" x14ac:dyDescent="0.25">
      <c r="B150" s="18"/>
    </row>
    <row r="151" spans="2:133" x14ac:dyDescent="0.25">
      <c r="B151" s="18"/>
    </row>
    <row r="152" spans="2:133" x14ac:dyDescent="0.25">
      <c r="B152" s="18"/>
    </row>
    <row r="153" spans="2:133" x14ac:dyDescent="0.25">
      <c r="B153" s="18"/>
    </row>
    <row r="154" spans="2:133" x14ac:dyDescent="0.25">
      <c r="B154" s="18"/>
    </row>
    <row r="155" spans="2:133" x14ac:dyDescent="0.25">
      <c r="B155" s="18"/>
    </row>
    <row r="156" spans="2:133" x14ac:dyDescent="0.25">
      <c r="B156" s="18"/>
    </row>
    <row r="157" spans="2:133" x14ac:dyDescent="0.25">
      <c r="B157" s="18"/>
    </row>
    <row r="158" spans="2:133" x14ac:dyDescent="0.25">
      <c r="B158" s="18"/>
    </row>
    <row r="159" spans="2:133" x14ac:dyDescent="0.25">
      <c r="B159" s="18"/>
    </row>
    <row r="160" spans="2:133" x14ac:dyDescent="0.25">
      <c r="B160" s="18"/>
    </row>
    <row r="161" spans="2:7" x14ac:dyDescent="0.25">
      <c r="B161" s="18"/>
    </row>
    <row r="162" spans="2:7" x14ac:dyDescent="0.25">
      <c r="B162" s="18"/>
      <c r="G162" s="22"/>
    </row>
    <row r="163" spans="2:7" x14ac:dyDescent="0.25">
      <c r="B163" s="18"/>
      <c r="G163" s="22"/>
    </row>
    <row r="164" spans="2:7" x14ac:dyDescent="0.25">
      <c r="B164" s="18"/>
      <c r="G164" s="22"/>
    </row>
    <row r="165" spans="2:7" x14ac:dyDescent="0.25">
      <c r="B165" s="18"/>
      <c r="G165" s="22"/>
    </row>
    <row r="166" spans="2:7" x14ac:dyDescent="0.25">
      <c r="B166" s="18"/>
      <c r="G166" s="22"/>
    </row>
    <row r="167" spans="2:7" x14ac:dyDescent="0.25">
      <c r="B167" s="18"/>
      <c r="G167" s="22"/>
    </row>
    <row r="168" spans="2:7" x14ac:dyDescent="0.25">
      <c r="B168" s="18"/>
    </row>
    <row r="169" spans="2:7" x14ac:dyDescent="0.25">
      <c r="B169" s="18"/>
    </row>
    <row r="170" spans="2:7" x14ac:dyDescent="0.25">
      <c r="B170" s="18"/>
    </row>
    <row r="171" spans="2:7" x14ac:dyDescent="0.25">
      <c r="B171" s="18"/>
    </row>
    <row r="172" spans="2:7" x14ac:dyDescent="0.25">
      <c r="B172" s="18"/>
    </row>
    <row r="173" spans="2:7" x14ac:dyDescent="0.25">
      <c r="B173" s="18"/>
    </row>
    <row r="174" spans="2:7" x14ac:dyDescent="0.25">
      <c r="B174" s="18"/>
    </row>
    <row r="175" spans="2:7" x14ac:dyDescent="0.25">
      <c r="B175" s="18"/>
    </row>
    <row r="176" spans="2:7" x14ac:dyDescent="0.25">
      <c r="B176" s="18"/>
    </row>
    <row r="177" spans="2:2" x14ac:dyDescent="0.25">
      <c r="B177" s="18"/>
    </row>
    <row r="178" spans="2:2" x14ac:dyDescent="0.25">
      <c r="B178" s="18"/>
    </row>
    <row r="179" spans="2:2" x14ac:dyDescent="0.25">
      <c r="B179" s="18"/>
    </row>
    <row r="180" spans="2:2" x14ac:dyDescent="0.25">
      <c r="B180" s="18"/>
    </row>
    <row r="181" spans="2:2" x14ac:dyDescent="0.25">
      <c r="B181" s="18"/>
    </row>
    <row r="182" spans="2:2" x14ac:dyDescent="0.25">
      <c r="B182" s="18"/>
    </row>
    <row r="183" spans="2:2" x14ac:dyDescent="0.25">
      <c r="B183" s="18"/>
    </row>
    <row r="184" spans="2:2" x14ac:dyDescent="0.25">
      <c r="B184" s="18"/>
    </row>
    <row r="185" spans="2:2" x14ac:dyDescent="0.25">
      <c r="B185" s="18"/>
    </row>
    <row r="186" spans="2:2" x14ac:dyDescent="0.25">
      <c r="B186" s="18"/>
    </row>
    <row r="187" spans="2:2" x14ac:dyDescent="0.25">
      <c r="B187" s="18"/>
    </row>
    <row r="188" spans="2:2" x14ac:dyDescent="0.25">
      <c r="B188" s="18"/>
    </row>
    <row r="189" spans="2:2" x14ac:dyDescent="0.25">
      <c r="B189" s="18"/>
    </row>
    <row r="190" spans="2:2" x14ac:dyDescent="0.25">
      <c r="B190" s="18"/>
    </row>
    <row r="191" spans="2:2" x14ac:dyDescent="0.25">
      <c r="B191" s="18"/>
    </row>
    <row r="192" spans="2:2" x14ac:dyDescent="0.25">
      <c r="B192" s="18"/>
    </row>
    <row r="193" spans="2:2" x14ac:dyDescent="0.25">
      <c r="B193" s="18"/>
    </row>
    <row r="194" spans="2:2" x14ac:dyDescent="0.25">
      <c r="B194" s="18"/>
    </row>
    <row r="195" spans="2:2" x14ac:dyDescent="0.25">
      <c r="B195" s="18"/>
    </row>
    <row r="196" spans="2:2" x14ac:dyDescent="0.25">
      <c r="B196" s="18"/>
    </row>
    <row r="197" spans="2:2" x14ac:dyDescent="0.25">
      <c r="B197" s="18"/>
    </row>
    <row r="198" spans="2:2" x14ac:dyDescent="0.25">
      <c r="B198" s="18"/>
    </row>
    <row r="199" spans="2:2" x14ac:dyDescent="0.25">
      <c r="B199" s="18"/>
    </row>
    <row r="200" spans="2:2" x14ac:dyDescent="0.25">
      <c r="B200" s="18"/>
    </row>
    <row r="201" spans="2:2" x14ac:dyDescent="0.25">
      <c r="B201" s="18"/>
    </row>
    <row r="202" spans="2:2" x14ac:dyDescent="0.25">
      <c r="B202" s="18"/>
    </row>
    <row r="203" spans="2:2" x14ac:dyDescent="0.25">
      <c r="B203" s="18"/>
    </row>
    <row r="204" spans="2:2" x14ac:dyDescent="0.25">
      <c r="B204" s="18"/>
    </row>
    <row r="205" spans="2:2" x14ac:dyDescent="0.25">
      <c r="B205" s="18"/>
    </row>
    <row r="206" spans="2:2" x14ac:dyDescent="0.25">
      <c r="B206" s="18"/>
    </row>
    <row r="207" spans="2:2" x14ac:dyDescent="0.25">
      <c r="B207" s="18"/>
    </row>
    <row r="208" spans="2:2" x14ac:dyDescent="0.25">
      <c r="B208" s="18"/>
    </row>
    <row r="209" spans="2:2" x14ac:dyDescent="0.25">
      <c r="B209" s="18"/>
    </row>
    <row r="210" spans="2:2" x14ac:dyDescent="0.25">
      <c r="B210" s="18"/>
    </row>
    <row r="211" spans="2:2" x14ac:dyDescent="0.25">
      <c r="B211" s="18"/>
    </row>
    <row r="212" spans="2:2" x14ac:dyDescent="0.25">
      <c r="B212" s="18"/>
    </row>
    <row r="213" spans="2:2" x14ac:dyDescent="0.25">
      <c r="B213" s="18"/>
    </row>
    <row r="214" spans="2:2" x14ac:dyDescent="0.25">
      <c r="B214" s="18"/>
    </row>
    <row r="215" spans="2:2" x14ac:dyDescent="0.25">
      <c r="B215" s="18"/>
    </row>
    <row r="216" spans="2:2" x14ac:dyDescent="0.25">
      <c r="B216" s="18"/>
    </row>
    <row r="217" spans="2:2" x14ac:dyDescent="0.25">
      <c r="B217" s="18"/>
    </row>
    <row r="218" spans="2:2" x14ac:dyDescent="0.25">
      <c r="B218" s="18"/>
    </row>
    <row r="219" spans="2:2" x14ac:dyDescent="0.25">
      <c r="B219" s="18"/>
    </row>
    <row r="220" spans="2:2" x14ac:dyDescent="0.25">
      <c r="B220" s="18"/>
    </row>
    <row r="221" spans="2:2" x14ac:dyDescent="0.25">
      <c r="B221" s="18"/>
    </row>
    <row r="222" spans="2:2" x14ac:dyDescent="0.25">
      <c r="B222" s="18"/>
    </row>
    <row r="223" spans="2:2" x14ac:dyDescent="0.25">
      <c r="B223" s="18"/>
    </row>
    <row r="224" spans="2:2" x14ac:dyDescent="0.25">
      <c r="B224" s="18"/>
    </row>
    <row r="225" spans="2:2" x14ac:dyDescent="0.25">
      <c r="B225" s="18"/>
    </row>
    <row r="226" spans="2:2" x14ac:dyDescent="0.25">
      <c r="B226" s="18"/>
    </row>
    <row r="227" spans="2:2" x14ac:dyDescent="0.25">
      <c r="B227" s="18"/>
    </row>
    <row r="228" spans="2:2" x14ac:dyDescent="0.25">
      <c r="B228" s="18"/>
    </row>
    <row r="229" spans="2:2" x14ac:dyDescent="0.25">
      <c r="B229" s="18"/>
    </row>
    <row r="230" spans="2:2" x14ac:dyDescent="0.25">
      <c r="B230" s="18"/>
    </row>
    <row r="231" spans="2:2" x14ac:dyDescent="0.25">
      <c r="B231" s="18"/>
    </row>
    <row r="232" spans="2:2" x14ac:dyDescent="0.25">
      <c r="B232" s="18"/>
    </row>
    <row r="233" spans="2:2" x14ac:dyDescent="0.25">
      <c r="B233" s="18"/>
    </row>
    <row r="234" spans="2:2" x14ac:dyDescent="0.25">
      <c r="B234" s="18"/>
    </row>
    <row r="235" spans="2:2" x14ac:dyDescent="0.25">
      <c r="B235" s="18"/>
    </row>
    <row r="236" spans="2:2" x14ac:dyDescent="0.25">
      <c r="B236" s="18"/>
    </row>
    <row r="237" spans="2:2" x14ac:dyDescent="0.25">
      <c r="B237" s="18"/>
    </row>
    <row r="238" spans="2:2" x14ac:dyDescent="0.25">
      <c r="B238" s="18"/>
    </row>
    <row r="239" spans="2:2" x14ac:dyDescent="0.25">
      <c r="B239" s="18"/>
    </row>
    <row r="240" spans="2:2" x14ac:dyDescent="0.25">
      <c r="B240" s="18"/>
    </row>
    <row r="241" spans="2:2" x14ac:dyDescent="0.25">
      <c r="B241" s="18"/>
    </row>
    <row r="242" spans="2:2" x14ac:dyDescent="0.25">
      <c r="B242" s="18"/>
    </row>
    <row r="243" spans="2:2" x14ac:dyDescent="0.25">
      <c r="B243" s="18"/>
    </row>
    <row r="244" spans="2:2" x14ac:dyDescent="0.25">
      <c r="B244" s="18"/>
    </row>
    <row r="245" spans="2:2" x14ac:dyDescent="0.25">
      <c r="B245" s="18"/>
    </row>
    <row r="246" spans="2:2" x14ac:dyDescent="0.25">
      <c r="B246" s="18"/>
    </row>
    <row r="247" spans="2:2" x14ac:dyDescent="0.25">
      <c r="B247" s="18"/>
    </row>
    <row r="248" spans="2:2" x14ac:dyDescent="0.25">
      <c r="B248" s="18"/>
    </row>
    <row r="249" spans="2:2" x14ac:dyDescent="0.25">
      <c r="B249" s="18"/>
    </row>
    <row r="250" spans="2:2" x14ac:dyDescent="0.25">
      <c r="B250" s="18"/>
    </row>
    <row r="251" spans="2:2" x14ac:dyDescent="0.25">
      <c r="B251" s="18"/>
    </row>
    <row r="252" spans="2:2" x14ac:dyDescent="0.25">
      <c r="B252" s="18"/>
    </row>
    <row r="253" spans="2:2" x14ac:dyDescent="0.25">
      <c r="B253" s="18"/>
    </row>
    <row r="254" spans="2:2" x14ac:dyDescent="0.25">
      <c r="B254" s="18"/>
    </row>
    <row r="255" spans="2:2" x14ac:dyDescent="0.25">
      <c r="B255" s="18"/>
    </row>
    <row r="256" spans="2:2" x14ac:dyDescent="0.25">
      <c r="B256" s="18"/>
    </row>
    <row r="257" spans="2:2" x14ac:dyDescent="0.25">
      <c r="B257" s="18"/>
    </row>
    <row r="258" spans="2:2" x14ac:dyDescent="0.25">
      <c r="B258" s="18"/>
    </row>
    <row r="259" spans="2:2" x14ac:dyDescent="0.25">
      <c r="B259" s="18"/>
    </row>
    <row r="260" spans="2:2" x14ac:dyDescent="0.25">
      <c r="B260" s="18"/>
    </row>
    <row r="261" spans="2:2" x14ac:dyDescent="0.25">
      <c r="B261" s="18"/>
    </row>
    <row r="262" spans="2:2" x14ac:dyDescent="0.25">
      <c r="B262" s="18"/>
    </row>
    <row r="263" spans="2:2" x14ac:dyDescent="0.25">
      <c r="B263" s="18"/>
    </row>
    <row r="264" spans="2:2" x14ac:dyDescent="0.25">
      <c r="B264" s="18"/>
    </row>
    <row r="265" spans="2:2" x14ac:dyDescent="0.25">
      <c r="B265" s="18"/>
    </row>
    <row r="266" spans="2:2" x14ac:dyDescent="0.25">
      <c r="B266" s="18"/>
    </row>
    <row r="267" spans="2:2" x14ac:dyDescent="0.25">
      <c r="B267" s="18"/>
    </row>
    <row r="268" spans="2:2" x14ac:dyDescent="0.25">
      <c r="B268" s="18"/>
    </row>
    <row r="269" spans="2:2" x14ac:dyDescent="0.25">
      <c r="B269" s="18"/>
    </row>
    <row r="270" spans="2:2" x14ac:dyDescent="0.25">
      <c r="B270" s="18"/>
    </row>
    <row r="271" spans="2:2" x14ac:dyDescent="0.25">
      <c r="B271" s="18"/>
    </row>
    <row r="272" spans="2:2" x14ac:dyDescent="0.25">
      <c r="B272" s="18"/>
    </row>
    <row r="273" spans="2:2" x14ac:dyDescent="0.25">
      <c r="B273" s="18"/>
    </row>
    <row r="274" spans="2:2" x14ac:dyDescent="0.25">
      <c r="B274" s="18"/>
    </row>
    <row r="275" spans="2:2" x14ac:dyDescent="0.25">
      <c r="B275" s="18"/>
    </row>
    <row r="276" spans="2:2" x14ac:dyDescent="0.25">
      <c r="B276" s="18"/>
    </row>
    <row r="277" spans="2:2" x14ac:dyDescent="0.25">
      <c r="B277" s="18"/>
    </row>
    <row r="278" spans="2:2" x14ac:dyDescent="0.25">
      <c r="B278" s="18"/>
    </row>
    <row r="279" spans="2:2" x14ac:dyDescent="0.25">
      <c r="B279" s="18"/>
    </row>
    <row r="280" spans="2:2" x14ac:dyDescent="0.25">
      <c r="B280" s="18"/>
    </row>
    <row r="281" spans="2:2" x14ac:dyDescent="0.25">
      <c r="B281" s="18"/>
    </row>
    <row r="282" spans="2:2" x14ac:dyDescent="0.25">
      <c r="B282" s="18"/>
    </row>
    <row r="283" spans="2:2" x14ac:dyDescent="0.25">
      <c r="B283" s="18"/>
    </row>
    <row r="284" spans="2:2" x14ac:dyDescent="0.25">
      <c r="B284" s="18"/>
    </row>
    <row r="285" spans="2:2" x14ac:dyDescent="0.25">
      <c r="B285" s="18"/>
    </row>
    <row r="286" spans="2:2" x14ac:dyDescent="0.25">
      <c r="B286" s="18"/>
    </row>
    <row r="287" spans="2:2" x14ac:dyDescent="0.25">
      <c r="B287" s="18"/>
    </row>
    <row r="288" spans="2:2" x14ac:dyDescent="0.25">
      <c r="B288" s="18"/>
    </row>
    <row r="289" spans="2:2" x14ac:dyDescent="0.25">
      <c r="B289" s="18"/>
    </row>
    <row r="290" spans="2:2" x14ac:dyDescent="0.25">
      <c r="B290" s="18"/>
    </row>
    <row r="291" spans="2:2" x14ac:dyDescent="0.25">
      <c r="B291" s="18"/>
    </row>
    <row r="292" spans="2:2" x14ac:dyDescent="0.25">
      <c r="B292" s="18"/>
    </row>
    <row r="293" spans="2:2" x14ac:dyDescent="0.25">
      <c r="B293" s="18"/>
    </row>
    <row r="294" spans="2:2" x14ac:dyDescent="0.25">
      <c r="B294" s="18"/>
    </row>
    <row r="295" spans="2:2" x14ac:dyDescent="0.25">
      <c r="B295" s="18"/>
    </row>
    <row r="296" spans="2:2" x14ac:dyDescent="0.25">
      <c r="B296" s="18"/>
    </row>
    <row r="297" spans="2:2" x14ac:dyDescent="0.25">
      <c r="B297" s="18"/>
    </row>
    <row r="298" spans="2:2" x14ac:dyDescent="0.25">
      <c r="B298" s="18"/>
    </row>
    <row r="299" spans="2:2" x14ac:dyDescent="0.25">
      <c r="B299" s="18"/>
    </row>
    <row r="300" spans="2:2" x14ac:dyDescent="0.25">
      <c r="B300" s="18"/>
    </row>
    <row r="301" spans="2:2" x14ac:dyDescent="0.25">
      <c r="B301" s="18"/>
    </row>
    <row r="302" spans="2:2" x14ac:dyDescent="0.25">
      <c r="B302" s="18"/>
    </row>
    <row r="303" spans="2:2" x14ac:dyDescent="0.25">
      <c r="B303" s="18"/>
    </row>
    <row r="304" spans="2:2" x14ac:dyDescent="0.25">
      <c r="B304" s="18"/>
    </row>
    <row r="305" spans="2:2" x14ac:dyDescent="0.25">
      <c r="B305" s="18"/>
    </row>
    <row r="306" spans="2:2" x14ac:dyDescent="0.25">
      <c r="B306" s="18"/>
    </row>
    <row r="307" spans="2:2" x14ac:dyDescent="0.25">
      <c r="B307" s="18"/>
    </row>
    <row r="308" spans="2:2" x14ac:dyDescent="0.25">
      <c r="B308" s="18"/>
    </row>
    <row r="309" spans="2:2" x14ac:dyDescent="0.25">
      <c r="B309" s="18"/>
    </row>
    <row r="310" spans="2:2" x14ac:dyDescent="0.25">
      <c r="B310" s="18"/>
    </row>
    <row r="311" spans="2:2" x14ac:dyDescent="0.25">
      <c r="B311" s="18"/>
    </row>
    <row r="312" spans="2:2" x14ac:dyDescent="0.25">
      <c r="B312" s="18"/>
    </row>
    <row r="313" spans="2:2" x14ac:dyDescent="0.25">
      <c r="B313" s="18"/>
    </row>
    <row r="314" spans="2:2" x14ac:dyDescent="0.25">
      <c r="B314" s="18"/>
    </row>
    <row r="315" spans="2:2" x14ac:dyDescent="0.25">
      <c r="B315" s="18"/>
    </row>
    <row r="316" spans="2:2" x14ac:dyDescent="0.25">
      <c r="B316" s="18"/>
    </row>
    <row r="317" spans="2:2" x14ac:dyDescent="0.25">
      <c r="B317" s="18"/>
    </row>
    <row r="318" spans="2:2" x14ac:dyDescent="0.25">
      <c r="B318" s="18"/>
    </row>
    <row r="319" spans="2:2" x14ac:dyDescent="0.25">
      <c r="B319" s="18"/>
    </row>
    <row r="320" spans="2:2" x14ac:dyDescent="0.25">
      <c r="B320" s="18"/>
    </row>
    <row r="321" spans="2:2" x14ac:dyDescent="0.25">
      <c r="B321" s="18"/>
    </row>
    <row r="322" spans="2:2" x14ac:dyDescent="0.25">
      <c r="B322" s="18"/>
    </row>
    <row r="323" spans="2:2" x14ac:dyDescent="0.25">
      <c r="B323" s="18"/>
    </row>
    <row r="324" spans="2:2" x14ac:dyDescent="0.25">
      <c r="B324" s="18"/>
    </row>
    <row r="325" spans="2:2" x14ac:dyDescent="0.25">
      <c r="B325" s="18"/>
    </row>
    <row r="326" spans="2:2" x14ac:dyDescent="0.25">
      <c r="B326" s="18"/>
    </row>
    <row r="327" spans="2:2" x14ac:dyDescent="0.25">
      <c r="B327" s="18"/>
    </row>
    <row r="328" spans="2:2" x14ac:dyDescent="0.25">
      <c r="B328" s="18"/>
    </row>
    <row r="329" spans="2:2" x14ac:dyDescent="0.25">
      <c r="B329" s="18"/>
    </row>
    <row r="330" spans="2:2" x14ac:dyDescent="0.25">
      <c r="B330" s="18"/>
    </row>
    <row r="331" spans="2:2" x14ac:dyDescent="0.25">
      <c r="B331" s="18"/>
    </row>
    <row r="332" spans="2:2" x14ac:dyDescent="0.25">
      <c r="B332" s="18"/>
    </row>
    <row r="333" spans="2:2" x14ac:dyDescent="0.25">
      <c r="B333" s="18"/>
    </row>
    <row r="334" spans="2:2" x14ac:dyDescent="0.25">
      <c r="B334" s="18"/>
    </row>
    <row r="335" spans="2:2" x14ac:dyDescent="0.25">
      <c r="B335" s="18"/>
    </row>
    <row r="336" spans="2:2" x14ac:dyDescent="0.25">
      <c r="B336" s="18"/>
    </row>
    <row r="337" spans="2:2" x14ac:dyDescent="0.25">
      <c r="B337" s="18"/>
    </row>
    <row r="338" spans="2:2" x14ac:dyDescent="0.25">
      <c r="B338" s="18"/>
    </row>
    <row r="339" spans="2:2" x14ac:dyDescent="0.25">
      <c r="B339" s="18"/>
    </row>
    <row r="340" spans="2:2" x14ac:dyDescent="0.25">
      <c r="B340" s="18"/>
    </row>
    <row r="341" spans="2:2" x14ac:dyDescent="0.25">
      <c r="B341" s="18"/>
    </row>
    <row r="342" spans="2:2" x14ac:dyDescent="0.25">
      <c r="B342" s="18"/>
    </row>
    <row r="343" spans="2:2" x14ac:dyDescent="0.25">
      <c r="B343" s="18"/>
    </row>
    <row r="344" spans="2:2" x14ac:dyDescent="0.25">
      <c r="B344" s="18"/>
    </row>
    <row r="345" spans="2:2" x14ac:dyDescent="0.25">
      <c r="B345" s="18"/>
    </row>
    <row r="346" spans="2:2" x14ac:dyDescent="0.25">
      <c r="B346" s="18"/>
    </row>
    <row r="347" spans="2:2" x14ac:dyDescent="0.25">
      <c r="B347" s="18"/>
    </row>
    <row r="348" spans="2:2" x14ac:dyDescent="0.25">
      <c r="B348" s="18"/>
    </row>
    <row r="349" spans="2:2" x14ac:dyDescent="0.25">
      <c r="B349" s="18"/>
    </row>
    <row r="350" spans="2:2" x14ac:dyDescent="0.25">
      <c r="B350" s="18"/>
    </row>
    <row r="351" spans="2:2" x14ac:dyDescent="0.25">
      <c r="B351" s="18"/>
    </row>
    <row r="352" spans="2:2" x14ac:dyDescent="0.25">
      <c r="B352" s="18"/>
    </row>
    <row r="353" spans="2:2" x14ac:dyDescent="0.25">
      <c r="B353" s="18"/>
    </row>
    <row r="354" spans="2:2" x14ac:dyDescent="0.25">
      <c r="B354" s="18"/>
    </row>
    <row r="355" spans="2:2" x14ac:dyDescent="0.25">
      <c r="B355" s="18"/>
    </row>
    <row r="356" spans="2:2" x14ac:dyDescent="0.25">
      <c r="B356" s="18"/>
    </row>
    <row r="357" spans="2:2" x14ac:dyDescent="0.25">
      <c r="B357" s="18"/>
    </row>
    <row r="358" spans="2:2" x14ac:dyDescent="0.25">
      <c r="B358" s="18"/>
    </row>
    <row r="359" spans="2:2" x14ac:dyDescent="0.25">
      <c r="B359" s="18"/>
    </row>
    <row r="360" spans="2:2" x14ac:dyDescent="0.25">
      <c r="B360" s="18"/>
    </row>
    <row r="361" spans="2:2" x14ac:dyDescent="0.25">
      <c r="B361" s="18"/>
    </row>
    <row r="362" spans="2:2" x14ac:dyDescent="0.25">
      <c r="B362" s="18"/>
    </row>
    <row r="363" spans="2:2" x14ac:dyDescent="0.25">
      <c r="B363" s="18"/>
    </row>
    <row r="364" spans="2:2" x14ac:dyDescent="0.25">
      <c r="B364" s="18"/>
    </row>
    <row r="365" spans="2:2" x14ac:dyDescent="0.25">
      <c r="B365" s="18"/>
    </row>
    <row r="366" spans="2:2" x14ac:dyDescent="0.25">
      <c r="B366" s="18"/>
    </row>
    <row r="367" spans="2:2" x14ac:dyDescent="0.25">
      <c r="B367" s="18"/>
    </row>
    <row r="368" spans="2:2" x14ac:dyDescent="0.25">
      <c r="B368" s="18"/>
    </row>
    <row r="369" spans="2:2" x14ac:dyDescent="0.25">
      <c r="B369" s="18"/>
    </row>
    <row r="370" spans="2:2" x14ac:dyDescent="0.25">
      <c r="B370" s="18"/>
    </row>
    <row r="371" spans="2:2" x14ac:dyDescent="0.25">
      <c r="B371" s="18"/>
    </row>
    <row r="372" spans="2:2" x14ac:dyDescent="0.25">
      <c r="B372" s="18"/>
    </row>
    <row r="373" spans="2:2" x14ac:dyDescent="0.25">
      <c r="B373" s="18"/>
    </row>
    <row r="374" spans="2:2" x14ac:dyDescent="0.25">
      <c r="B374" s="18"/>
    </row>
    <row r="375" spans="2:2" x14ac:dyDescent="0.25">
      <c r="B375" s="18"/>
    </row>
    <row r="376" spans="2:2" x14ac:dyDescent="0.25">
      <c r="B376" s="18"/>
    </row>
    <row r="377" spans="2:2" x14ac:dyDescent="0.25">
      <c r="B377" s="18"/>
    </row>
    <row r="378" spans="2:2" x14ac:dyDescent="0.25">
      <c r="B378" s="18"/>
    </row>
    <row r="379" spans="2:2" x14ac:dyDescent="0.25">
      <c r="B379" s="18"/>
    </row>
    <row r="380" spans="2:2" x14ac:dyDescent="0.25">
      <c r="B380" s="18"/>
    </row>
    <row r="381" spans="2:2" x14ac:dyDescent="0.25">
      <c r="B381" s="18"/>
    </row>
    <row r="382" spans="2:2" x14ac:dyDescent="0.25">
      <c r="B382" s="18"/>
    </row>
    <row r="383" spans="2:2" x14ac:dyDescent="0.25">
      <c r="B383" s="18"/>
    </row>
    <row r="384" spans="2:2" x14ac:dyDescent="0.25">
      <c r="B384" s="18"/>
    </row>
    <row r="385" spans="2:2" x14ac:dyDescent="0.25">
      <c r="B385" s="18"/>
    </row>
    <row r="386" spans="2:2" x14ac:dyDescent="0.25">
      <c r="B386" s="18"/>
    </row>
    <row r="387" spans="2:2" x14ac:dyDescent="0.25">
      <c r="B387" s="18"/>
    </row>
    <row r="388" spans="2:2" x14ac:dyDescent="0.25">
      <c r="B388" s="18"/>
    </row>
    <row r="389" spans="2:2" x14ac:dyDescent="0.25">
      <c r="B389" s="18"/>
    </row>
    <row r="390" spans="2:2" x14ac:dyDescent="0.25">
      <c r="B390" s="18"/>
    </row>
    <row r="391" spans="2:2" x14ac:dyDescent="0.25">
      <c r="B391" s="18"/>
    </row>
    <row r="392" spans="2:2" x14ac:dyDescent="0.25">
      <c r="B392" s="18"/>
    </row>
    <row r="393" spans="2:2" x14ac:dyDescent="0.25">
      <c r="B393" s="18"/>
    </row>
    <row r="394" spans="2:2" x14ac:dyDescent="0.25">
      <c r="B394" s="18"/>
    </row>
    <row r="395" spans="2:2" x14ac:dyDescent="0.25">
      <c r="B395" s="18"/>
    </row>
    <row r="396" spans="2:2" x14ac:dyDescent="0.25">
      <c r="B396" s="18"/>
    </row>
    <row r="397" spans="2:2" x14ac:dyDescent="0.25">
      <c r="B397" s="18"/>
    </row>
    <row r="398" spans="2:2" x14ac:dyDescent="0.25">
      <c r="B398" s="18"/>
    </row>
    <row r="399" spans="2:2" x14ac:dyDescent="0.25">
      <c r="B399" s="18"/>
    </row>
    <row r="400" spans="2:2" x14ac:dyDescent="0.25">
      <c r="B400" s="18"/>
    </row>
    <row r="401" spans="2:2" x14ac:dyDescent="0.25">
      <c r="B401" s="18"/>
    </row>
    <row r="402" spans="2:2" x14ac:dyDescent="0.25">
      <c r="B402" s="18"/>
    </row>
    <row r="403" spans="2:2" x14ac:dyDescent="0.25">
      <c r="B403" s="18"/>
    </row>
    <row r="404" spans="2:2" x14ac:dyDescent="0.25">
      <c r="B404" s="18"/>
    </row>
    <row r="405" spans="2:2" x14ac:dyDescent="0.25">
      <c r="B405" s="18"/>
    </row>
    <row r="406" spans="2:2" x14ac:dyDescent="0.25">
      <c r="B406" s="18"/>
    </row>
    <row r="407" spans="2:2" x14ac:dyDescent="0.25">
      <c r="B407" s="18"/>
    </row>
    <row r="408" spans="2:2" x14ac:dyDescent="0.25">
      <c r="B408" s="18"/>
    </row>
    <row r="409" spans="2:2" x14ac:dyDescent="0.25">
      <c r="B409" s="18"/>
    </row>
    <row r="410" spans="2:2" x14ac:dyDescent="0.25">
      <c r="B410" s="18"/>
    </row>
    <row r="411" spans="2:2" x14ac:dyDescent="0.25">
      <c r="B411" s="18"/>
    </row>
    <row r="412" spans="2:2" x14ac:dyDescent="0.25">
      <c r="B412" s="18"/>
    </row>
    <row r="413" spans="2:2" x14ac:dyDescent="0.25">
      <c r="B413" s="18"/>
    </row>
    <row r="414" spans="2:2" x14ac:dyDescent="0.25">
      <c r="B414" s="18"/>
    </row>
    <row r="415" spans="2:2" x14ac:dyDescent="0.25">
      <c r="B415" s="18"/>
    </row>
    <row r="416" spans="2:2" x14ac:dyDescent="0.25">
      <c r="B416" s="18"/>
    </row>
    <row r="417" spans="2:2" x14ac:dyDescent="0.25">
      <c r="B417" s="18"/>
    </row>
    <row r="418" spans="2:2" x14ac:dyDescent="0.25">
      <c r="B418" s="18"/>
    </row>
    <row r="419" spans="2:2" x14ac:dyDescent="0.25">
      <c r="B419" s="18"/>
    </row>
    <row r="420" spans="2:2" x14ac:dyDescent="0.25">
      <c r="B420" s="18"/>
    </row>
    <row r="421" spans="2:2" x14ac:dyDescent="0.25">
      <c r="B421" s="18"/>
    </row>
    <row r="422" spans="2:2" x14ac:dyDescent="0.25">
      <c r="B422" s="18"/>
    </row>
    <row r="423" spans="2:2" x14ac:dyDescent="0.25">
      <c r="B423" s="18"/>
    </row>
    <row r="424" spans="2:2" x14ac:dyDescent="0.25">
      <c r="B424" s="18"/>
    </row>
    <row r="425" spans="2:2" x14ac:dyDescent="0.25">
      <c r="B425" s="18"/>
    </row>
    <row r="426" spans="2:2" x14ac:dyDescent="0.25">
      <c r="B426" s="18"/>
    </row>
    <row r="427" spans="2:2" x14ac:dyDescent="0.25">
      <c r="B427" s="18"/>
    </row>
    <row r="428" spans="2:2" x14ac:dyDescent="0.25">
      <c r="B428" s="18"/>
    </row>
    <row r="429" spans="2:2" x14ac:dyDescent="0.25">
      <c r="B429" s="18"/>
    </row>
    <row r="430" spans="2:2" x14ac:dyDescent="0.25">
      <c r="B430" s="18"/>
    </row>
    <row r="431" spans="2:2" x14ac:dyDescent="0.25">
      <c r="B431" s="18"/>
    </row>
    <row r="432" spans="2:2" x14ac:dyDescent="0.25">
      <c r="B432" s="18"/>
    </row>
    <row r="433" spans="2:2" x14ac:dyDescent="0.25">
      <c r="B433" s="18"/>
    </row>
    <row r="434" spans="2:2" x14ac:dyDescent="0.25">
      <c r="B434" s="18"/>
    </row>
    <row r="435" spans="2:2" x14ac:dyDescent="0.25">
      <c r="B435" s="18"/>
    </row>
    <row r="436" spans="2:2" x14ac:dyDescent="0.25">
      <c r="B436" s="18"/>
    </row>
    <row r="437" spans="2:2" x14ac:dyDescent="0.25">
      <c r="B437" s="18"/>
    </row>
    <row r="438" spans="2:2" x14ac:dyDescent="0.25">
      <c r="B438" s="18"/>
    </row>
    <row r="439" spans="2:2" x14ac:dyDescent="0.25">
      <c r="B439" s="18"/>
    </row>
    <row r="440" spans="2:2" x14ac:dyDescent="0.25">
      <c r="B440" s="18"/>
    </row>
    <row r="441" spans="2:2" x14ac:dyDescent="0.25">
      <c r="B441" s="18"/>
    </row>
    <row r="442" spans="2:2" x14ac:dyDescent="0.25">
      <c r="B442" s="18"/>
    </row>
    <row r="443" spans="2:2" x14ac:dyDescent="0.25">
      <c r="B443" s="18"/>
    </row>
    <row r="444" spans="2:2" x14ac:dyDescent="0.25">
      <c r="B444" s="18"/>
    </row>
    <row r="445" spans="2:2" x14ac:dyDescent="0.25">
      <c r="B445" s="18"/>
    </row>
    <row r="446" spans="2:2" x14ac:dyDescent="0.25">
      <c r="B446" s="18"/>
    </row>
    <row r="447" spans="2:2" x14ac:dyDescent="0.25">
      <c r="B447" s="18"/>
    </row>
    <row r="448" spans="2:2" x14ac:dyDescent="0.25">
      <c r="B448" s="18"/>
    </row>
    <row r="449" spans="2:2" x14ac:dyDescent="0.25">
      <c r="B449" s="18"/>
    </row>
    <row r="450" spans="2:2" x14ac:dyDescent="0.25">
      <c r="B450" s="18"/>
    </row>
    <row r="451" spans="2:2" x14ac:dyDescent="0.25">
      <c r="B451" s="18"/>
    </row>
    <row r="452" spans="2:2" x14ac:dyDescent="0.25">
      <c r="B452" s="18"/>
    </row>
    <row r="453" spans="2:2" x14ac:dyDescent="0.25">
      <c r="B453" s="18"/>
    </row>
    <row r="454" spans="2:2" x14ac:dyDescent="0.25">
      <c r="B454" s="18"/>
    </row>
    <row r="455" spans="2:2" x14ac:dyDescent="0.25">
      <c r="B455" s="18"/>
    </row>
    <row r="456" spans="2:2" x14ac:dyDescent="0.25">
      <c r="B456" s="18"/>
    </row>
    <row r="457" spans="2:2" x14ac:dyDescent="0.25">
      <c r="B457" s="18"/>
    </row>
    <row r="458" spans="2:2" x14ac:dyDescent="0.25">
      <c r="B458" s="18"/>
    </row>
    <row r="459" spans="2:2" x14ac:dyDescent="0.25">
      <c r="B459" s="18"/>
    </row>
    <row r="460" spans="2:2" x14ac:dyDescent="0.25">
      <c r="B460" s="18"/>
    </row>
    <row r="461" spans="2:2" x14ac:dyDescent="0.25">
      <c r="B461" s="18"/>
    </row>
    <row r="462" spans="2:2" x14ac:dyDescent="0.25">
      <c r="B462" s="18"/>
    </row>
    <row r="463" spans="2:2" x14ac:dyDescent="0.25">
      <c r="B463" s="18"/>
    </row>
    <row r="464" spans="2:2" x14ac:dyDescent="0.25">
      <c r="B464" s="18"/>
    </row>
    <row r="465" spans="2:2" x14ac:dyDescent="0.25">
      <c r="B465" s="18"/>
    </row>
    <row r="466" spans="2:2" x14ac:dyDescent="0.25">
      <c r="B466" s="18"/>
    </row>
    <row r="467" spans="2:2" x14ac:dyDescent="0.25">
      <c r="B467" s="18"/>
    </row>
    <row r="468" spans="2:2" x14ac:dyDescent="0.25">
      <c r="B468" s="18"/>
    </row>
    <row r="469" spans="2:2" x14ac:dyDescent="0.25">
      <c r="B469" s="18"/>
    </row>
    <row r="470" spans="2:2" x14ac:dyDescent="0.25">
      <c r="B470" s="18"/>
    </row>
    <row r="471" spans="2:2" x14ac:dyDescent="0.25">
      <c r="B471" s="18"/>
    </row>
    <row r="472" spans="2:2" x14ac:dyDescent="0.25">
      <c r="B472" s="18"/>
    </row>
    <row r="473" spans="2:2" x14ac:dyDescent="0.25">
      <c r="B473" s="18"/>
    </row>
    <row r="474" spans="2:2" x14ac:dyDescent="0.25">
      <c r="B474" s="18"/>
    </row>
    <row r="475" spans="2:2" x14ac:dyDescent="0.25">
      <c r="B475" s="18"/>
    </row>
    <row r="476" spans="2:2" x14ac:dyDescent="0.25">
      <c r="B476" s="18"/>
    </row>
    <row r="477" spans="2:2" x14ac:dyDescent="0.25">
      <c r="B477" s="18"/>
    </row>
    <row r="478" spans="2:2" x14ac:dyDescent="0.25">
      <c r="B478" s="18"/>
    </row>
    <row r="479" spans="2:2" x14ac:dyDescent="0.25">
      <c r="B479" s="18"/>
    </row>
    <row r="480" spans="2:2" x14ac:dyDescent="0.25">
      <c r="B480" s="18"/>
    </row>
    <row r="481" spans="2:2" x14ac:dyDescent="0.25">
      <c r="B481" s="18"/>
    </row>
    <row r="482" spans="2:2" x14ac:dyDescent="0.25">
      <c r="B482" s="18"/>
    </row>
    <row r="483" spans="2:2" x14ac:dyDescent="0.25">
      <c r="B483" s="18"/>
    </row>
    <row r="484" spans="2:2" x14ac:dyDescent="0.25">
      <c r="B484" s="18"/>
    </row>
    <row r="485" spans="2:2" x14ac:dyDescent="0.25">
      <c r="B485" s="18"/>
    </row>
    <row r="486" spans="2:2" x14ac:dyDescent="0.25">
      <c r="B486" s="18"/>
    </row>
    <row r="487" spans="2:2" x14ac:dyDescent="0.25">
      <c r="B487" s="18"/>
    </row>
    <row r="488" spans="2:2" x14ac:dyDescent="0.25">
      <c r="B488" s="18"/>
    </row>
    <row r="489" spans="2:2" x14ac:dyDescent="0.25">
      <c r="B489" s="18"/>
    </row>
    <row r="490" spans="2:2" x14ac:dyDescent="0.25">
      <c r="B490" s="18"/>
    </row>
    <row r="491" spans="2:2" x14ac:dyDescent="0.25">
      <c r="B491" s="18"/>
    </row>
    <row r="492" spans="2:2" x14ac:dyDescent="0.25">
      <c r="B492" s="18"/>
    </row>
    <row r="493" spans="2:2" x14ac:dyDescent="0.25">
      <c r="B493" s="18"/>
    </row>
    <row r="494" spans="2:2" x14ac:dyDescent="0.25">
      <c r="B494" s="18"/>
    </row>
    <row r="495" spans="2:2" x14ac:dyDescent="0.25">
      <c r="B495" s="18"/>
    </row>
    <row r="496" spans="2:2" x14ac:dyDescent="0.25">
      <c r="B496" s="18"/>
    </row>
    <row r="497" spans="2:2" x14ac:dyDescent="0.25">
      <c r="B497" s="18"/>
    </row>
    <row r="498" spans="2:2" x14ac:dyDescent="0.25">
      <c r="B498" s="18"/>
    </row>
    <row r="499" spans="2:2" x14ac:dyDescent="0.25">
      <c r="B499" s="18"/>
    </row>
    <row r="500" spans="2:2" x14ac:dyDescent="0.25">
      <c r="B500" s="18"/>
    </row>
    <row r="501" spans="2:2" x14ac:dyDescent="0.25">
      <c r="B501" s="18"/>
    </row>
    <row r="502" spans="2:2" x14ac:dyDescent="0.25">
      <c r="B502" s="18"/>
    </row>
    <row r="503" spans="2:2" x14ac:dyDescent="0.25">
      <c r="B503" s="18"/>
    </row>
    <row r="504" spans="2:2" x14ac:dyDescent="0.25">
      <c r="B504" s="18"/>
    </row>
    <row r="505" spans="2:2" x14ac:dyDescent="0.25">
      <c r="B505" s="18"/>
    </row>
    <row r="506" spans="2:2" x14ac:dyDescent="0.25">
      <c r="B506" s="18"/>
    </row>
    <row r="507" spans="2:2" x14ac:dyDescent="0.25">
      <c r="B507" s="18"/>
    </row>
    <row r="508" spans="2:2" x14ac:dyDescent="0.25">
      <c r="B508" s="18"/>
    </row>
    <row r="509" spans="2:2" x14ac:dyDescent="0.25">
      <c r="B509" s="18"/>
    </row>
    <row r="510" spans="2:2" x14ac:dyDescent="0.25">
      <c r="B510" s="18"/>
    </row>
    <row r="511" spans="2:2" x14ac:dyDescent="0.25">
      <c r="B511" s="18"/>
    </row>
    <row r="512" spans="2:2" x14ac:dyDescent="0.25">
      <c r="B512" s="18"/>
    </row>
    <row r="513" spans="2:2" x14ac:dyDescent="0.25">
      <c r="B513" s="18"/>
    </row>
    <row r="514" spans="2:2" x14ac:dyDescent="0.25">
      <c r="B514" s="18"/>
    </row>
    <row r="515" spans="2:2" x14ac:dyDescent="0.25">
      <c r="B515" s="18"/>
    </row>
    <row r="516" spans="2:2" x14ac:dyDescent="0.25">
      <c r="B516" s="18"/>
    </row>
    <row r="517" spans="2:2" x14ac:dyDescent="0.25">
      <c r="B517" s="18"/>
    </row>
    <row r="518" spans="2:2" x14ac:dyDescent="0.25">
      <c r="B518" s="18"/>
    </row>
    <row r="519" spans="2:2" x14ac:dyDescent="0.25">
      <c r="B519" s="18"/>
    </row>
    <row r="520" spans="2:2" x14ac:dyDescent="0.25">
      <c r="B520" s="18"/>
    </row>
    <row r="521" spans="2:2" x14ac:dyDescent="0.25">
      <c r="B521" s="18"/>
    </row>
    <row r="522" spans="2:2" x14ac:dyDescent="0.25">
      <c r="B522" s="18"/>
    </row>
    <row r="523" spans="2:2" x14ac:dyDescent="0.25">
      <c r="B523" s="18"/>
    </row>
    <row r="524" spans="2:2" x14ac:dyDescent="0.25">
      <c r="B524" s="18"/>
    </row>
    <row r="525" spans="2:2" x14ac:dyDescent="0.25">
      <c r="B525" s="18"/>
    </row>
    <row r="526" spans="2:2" x14ac:dyDescent="0.25">
      <c r="B526" s="18"/>
    </row>
    <row r="527" spans="2:2" x14ac:dyDescent="0.25">
      <c r="B527" s="18"/>
    </row>
    <row r="528" spans="2:2" x14ac:dyDescent="0.25">
      <c r="B528" s="18"/>
    </row>
    <row r="529" spans="2:2" x14ac:dyDescent="0.25">
      <c r="B529" s="18"/>
    </row>
    <row r="530" spans="2:2" x14ac:dyDescent="0.25">
      <c r="B530" s="18"/>
    </row>
    <row r="531" spans="2:2" x14ac:dyDescent="0.25">
      <c r="B531" s="18"/>
    </row>
    <row r="532" spans="2:2" x14ac:dyDescent="0.25">
      <c r="B532" s="18"/>
    </row>
    <row r="533" spans="2:2" x14ac:dyDescent="0.25">
      <c r="B533" s="18"/>
    </row>
    <row r="534" spans="2:2" x14ac:dyDescent="0.25">
      <c r="B534" s="18"/>
    </row>
    <row r="535" spans="2:2" x14ac:dyDescent="0.25">
      <c r="B535" s="18"/>
    </row>
    <row r="536" spans="2:2" x14ac:dyDescent="0.25">
      <c r="B536" s="18"/>
    </row>
    <row r="537" spans="2:2" x14ac:dyDescent="0.25">
      <c r="B537" s="18"/>
    </row>
    <row r="538" spans="2:2" x14ac:dyDescent="0.25">
      <c r="B538" s="18"/>
    </row>
    <row r="539" spans="2:2" x14ac:dyDescent="0.25">
      <c r="B539" s="18"/>
    </row>
    <row r="540" spans="2:2" x14ac:dyDescent="0.25">
      <c r="B540" s="18"/>
    </row>
    <row r="541" spans="2:2" x14ac:dyDescent="0.25">
      <c r="B541" s="18"/>
    </row>
    <row r="542" spans="2:2" x14ac:dyDescent="0.25">
      <c r="B542" s="18"/>
    </row>
    <row r="543" spans="2:2" x14ac:dyDescent="0.25">
      <c r="B543" s="18"/>
    </row>
    <row r="544" spans="2:2" x14ac:dyDescent="0.25">
      <c r="B544" s="18"/>
    </row>
    <row r="545" spans="2:2" x14ac:dyDescent="0.25">
      <c r="B545" s="18"/>
    </row>
    <row r="546" spans="2:2" x14ac:dyDescent="0.25">
      <c r="B546" s="18"/>
    </row>
    <row r="547" spans="2:2" x14ac:dyDescent="0.25">
      <c r="B547" s="18"/>
    </row>
    <row r="548" spans="2:2" x14ac:dyDescent="0.25">
      <c r="B548" s="18"/>
    </row>
    <row r="549" spans="2:2" x14ac:dyDescent="0.25">
      <c r="B549" s="18"/>
    </row>
    <row r="550" spans="2:2" x14ac:dyDescent="0.25">
      <c r="B550" s="18"/>
    </row>
    <row r="551" spans="2:2" x14ac:dyDescent="0.25">
      <c r="B551" s="18"/>
    </row>
    <row r="552" spans="2:2" x14ac:dyDescent="0.25">
      <c r="B552" s="18"/>
    </row>
    <row r="553" spans="2:2" x14ac:dyDescent="0.25">
      <c r="B553" s="18"/>
    </row>
    <row r="554" spans="2:2" x14ac:dyDescent="0.25">
      <c r="B554" s="18"/>
    </row>
    <row r="555" spans="2:2" x14ac:dyDescent="0.25">
      <c r="B555" s="18"/>
    </row>
    <row r="556" spans="2:2" x14ac:dyDescent="0.25">
      <c r="B556" s="18"/>
    </row>
    <row r="557" spans="2:2" x14ac:dyDescent="0.25">
      <c r="B557" s="18"/>
    </row>
    <row r="558" spans="2:2" x14ac:dyDescent="0.25">
      <c r="B558" s="18"/>
    </row>
    <row r="559" spans="2:2" x14ac:dyDescent="0.25">
      <c r="B559" s="18"/>
    </row>
    <row r="560" spans="2:2" x14ac:dyDescent="0.25">
      <c r="B560" s="18"/>
    </row>
    <row r="561" spans="2:2" x14ac:dyDescent="0.25">
      <c r="B561" s="18"/>
    </row>
    <row r="562" spans="2:2" x14ac:dyDescent="0.25">
      <c r="B562" s="18"/>
    </row>
    <row r="563" spans="2:2" x14ac:dyDescent="0.25">
      <c r="B563" s="18"/>
    </row>
    <row r="564" spans="2:2" x14ac:dyDescent="0.25">
      <c r="B564" s="18"/>
    </row>
    <row r="565" spans="2:2" x14ac:dyDescent="0.25">
      <c r="B565" s="18"/>
    </row>
    <row r="566" spans="2:2" x14ac:dyDescent="0.25">
      <c r="B566" s="18"/>
    </row>
    <row r="567" spans="2:2" x14ac:dyDescent="0.25">
      <c r="B567" s="18"/>
    </row>
    <row r="568" spans="2:2" x14ac:dyDescent="0.25">
      <c r="B568" s="18"/>
    </row>
  </sheetData>
  <phoneticPr fontId="0" type="noConversion"/>
  <conditionalFormatting sqref="L8:L133 I135">
    <cfRule type="expression" dxfId="2" priority="1" stopIfTrue="1">
      <formula>RiskColorCellsSimOutput</formula>
    </cfRule>
    <cfRule type="expression" dxfId="1" priority="2" stopIfTrue="1">
      <formula>RiskColorCellsSimInput</formula>
    </cfRule>
    <cfRule type="expression" dxfId="0" priority="3" stopIfTrue="1">
      <formula>RiskColorCellsSimStatistics</formula>
    </cfRule>
  </conditionalFormatting>
  <printOptions headings="1" gridLines="1"/>
  <pageMargins left="0.75" right="0.75" top="1" bottom="1" header="0.5" footer="0.5"/>
  <pageSetup scale="7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Bootstrap</vt:lpstr>
      <vt:lpstr>Lookup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Tech. Services</dc:creator>
  <cp:lastModifiedBy>Mohammad Rahaman</cp:lastModifiedBy>
  <dcterms:created xsi:type="dcterms:W3CDTF">2000-07-03T16:21:24Z</dcterms:created>
  <dcterms:modified xsi:type="dcterms:W3CDTF">2023-03-14T20:30:41Z</dcterms:modified>
</cp:coreProperties>
</file>