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Course Materials\SMU2023_2024\MBAN\Lecture Notes\Finanical Modelling and Forecasting\"/>
    </mc:Choice>
  </mc:AlternateContent>
  <xr:revisionPtr revIDLastSave="0" documentId="13_ncr:1_{457951DE-4228-4136-BAA1-5F1B93D1E8E3}" xr6:coauthVersionLast="47" xr6:coauthVersionMax="47" xr10:uidLastSave="{00000000-0000-0000-0000-000000000000}"/>
  <bookViews>
    <workbookView xWindow="38280" yWindow="-120" windowWidth="29040" windowHeight="15840" firstSheet="1" activeTab="1" xr2:uid="{00000000-000D-0000-FFFF-FFFF00000000}"/>
  </bookViews>
  <sheets>
    <sheet name="RiskSerializationData8" sheetId="12" state="hidden" r:id="rId1"/>
    <sheet name="IMPVOL" sheetId="1" r:id="rId2"/>
    <sheet name="MODEL" sheetId="2" r:id="rId3"/>
    <sheet name="RiskSim" sheetId="3" r:id="rId4"/>
    <sheet name="Sheet3" sheetId="4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8</definedName>
    <definedName name="_AtRisk_SimSetting_MultipleCPUMode" hidden="1">1</definedName>
    <definedName name="_AtRisk_SimSetting_MultipleCPUModeV8" hidden="1">1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BrowseRecords" localSheetId="0">RiskSerializationData8!$6:$15</definedName>
    <definedName name="d">MODEL!$C$5</definedName>
    <definedName name="DistributionRecords" localSheetId="0">RiskSerializationData8!$18:$18</definedName>
    <definedName name="g">MODEL!$C$7</definedName>
    <definedName name="p">MODEL!$C$9</definedName>
    <definedName name="Pal_Workbook_GUID" hidden="1">"I7VLBV7WDM7KBU7XVKMJ7XWX"</definedName>
    <definedName name="r_">MODEL!$C$6</definedName>
    <definedName name="rf">MODEL!$C$6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5</definedName>
    <definedName name="RiskPauseOnError" hidden="1">FALSE</definedName>
    <definedName name="RiskRealTimeResults">FALSE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"$B$11"</definedName>
    <definedName name="RiskSelectedNameCell1" hidden="1">"$A$11"</definedName>
    <definedName name="RiskSelectedNameCell2" hidden="1">"$B$9"</definedName>
    <definedName name="RiskSimulationResultsStorageLocation" hidden="1">"2"</definedName>
    <definedName name="RiskStandardRecalc" hidden="1">2</definedName>
    <definedName name="RiskStatFunctionsUpdateFreq">1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TRUE</definedName>
    <definedName name="RiskUseMultipleCPUs" hidden="1">TRUE</definedName>
    <definedName name="S">MODEL!$C$3</definedName>
    <definedName name="SerializationHeader" localSheetId="0">RiskSerializationData8!$A$1:$B$3</definedName>
    <definedName name="solver_adj" localSheetId="1" hidden="1">IMPVOL!$B$11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hs1" localSheetId="1" hidden="1">IMPVOL!$B$11</definedName>
    <definedName name="solver_lhs2" localSheetId="1" hidden="1">IMPVOL!$B$14</definedName>
    <definedName name="solver_lin" localSheetId="1" hidden="1">0</definedName>
    <definedName name="solver_num" localSheetId="1" hidden="1">2</definedName>
    <definedName name="solver_nwt" localSheetId="1" hidden="1">1</definedName>
    <definedName name="solver_pre" localSheetId="1" hidden="1">0.000001</definedName>
    <definedName name="solver_rel1" localSheetId="1" hidden="1">3</definedName>
    <definedName name="solver_rel2" localSheetId="1" hidden="1">2</definedName>
    <definedName name="solver_rhs1" localSheetId="1" hidden="1">0</definedName>
    <definedName name="solver_rhs2" localSheetId="1" hidden="1">IMPVOL!$D$14</definedName>
    <definedName name="solver_scl" localSheetId="1" hidden="1">0</definedName>
    <definedName name="solver_sho" localSheetId="1" hidden="1">0</definedName>
    <definedName name="solver_tim" localSheetId="1" hidden="1">100</definedName>
    <definedName name="solver_tmp" localSheetId="1" hidden="1">IMPVOL!$D$14</definedName>
    <definedName name="solver_tol" localSheetId="1" hidden="1">0.05</definedName>
    <definedName name="solver_typ" localSheetId="1" hidden="1">1</definedName>
    <definedName name="solver_val" localSheetId="1" hidden="1">0</definedName>
    <definedName name="v">MODEL!$C$8</definedName>
    <definedName name="x">MODEL!$C$4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2" l="1"/>
  <c r="A15" i="12"/>
  <c r="L14" i="12"/>
  <c r="A14" i="12"/>
  <c r="L13" i="12"/>
  <c r="A13" i="12"/>
  <c r="L12" i="12"/>
  <c r="A12" i="12"/>
  <c r="L11" i="12"/>
  <c r="A11" i="12"/>
  <c r="L10" i="12"/>
  <c r="A10" i="12"/>
  <c r="L9" i="12"/>
  <c r="A9" i="12"/>
  <c r="L8" i="12"/>
  <c r="A8" i="12"/>
  <c r="L7" i="12"/>
  <c r="A7" i="12"/>
  <c r="L6" i="12"/>
  <c r="A6" i="12"/>
  <c r="G7" i="1"/>
  <c r="G6" i="1"/>
  <c r="G3" i="3"/>
  <c r="A18" i="12" s="1"/>
  <c r="E6" i="3"/>
  <c r="F3" i="3"/>
  <c r="H3" i="3"/>
  <c r="I3" i="3"/>
  <c r="J3" i="3"/>
  <c r="C7" i="2"/>
  <c r="C5" i="3"/>
  <c r="C4" i="3"/>
  <c r="G8" i="1"/>
  <c r="B8" i="1"/>
  <c r="B19" i="1" s="1"/>
  <c r="B9" i="1"/>
  <c r="C5" i="2"/>
  <c r="C6" i="2"/>
  <c r="B10" i="3"/>
  <c r="B11" i="2"/>
  <c r="B13" i="3"/>
  <c r="B14" i="2"/>
  <c r="C6" i="3" l="1"/>
  <c r="B12" i="2"/>
  <c r="B11" i="3"/>
  <c r="E19" i="1"/>
  <c r="B20" i="1"/>
  <c r="B15" i="2"/>
  <c r="B14" i="3"/>
  <c r="D15" i="1" l="1"/>
  <c r="E20" i="1"/>
  <c r="D14" i="1" s="1"/>
</calcChain>
</file>

<file path=xl/sharedStrings.xml><?xml version="1.0" encoding="utf-8"?>
<sst xmlns="http://schemas.openxmlformats.org/spreadsheetml/2006/main" count="104" uniqueCount="82">
  <si>
    <t>Black-Schole's Option Pricing Problem</t>
  </si>
  <si>
    <t>Input data</t>
  </si>
  <si>
    <t>Stock price</t>
  </si>
  <si>
    <t>Exercise price</t>
  </si>
  <si>
    <t>Duration</t>
  </si>
  <si>
    <t>Interest rate</t>
  </si>
  <si>
    <t>Implied volatility (stdev)</t>
  </si>
  <si>
    <t>Call price</t>
  </si>
  <si>
    <t>Actual</t>
  </si>
  <si>
    <t>Predicted</t>
  </si>
  <si>
    <t>=</t>
  </si>
  <si>
    <t>Put price</t>
  </si>
  <si>
    <t>Other quantities for option price</t>
  </si>
  <si>
    <t>d1</t>
  </si>
  <si>
    <t>N(d1)</t>
  </si>
  <si>
    <t>d2</t>
  </si>
  <si>
    <t>N(d2)</t>
  </si>
  <si>
    <t>Stress Testing Dell</t>
  </si>
  <si>
    <t>Range Name</t>
  </si>
  <si>
    <t>Current price</t>
  </si>
  <si>
    <t>Put exercise price</t>
  </si>
  <si>
    <t>x</t>
  </si>
  <si>
    <t>d</t>
  </si>
  <si>
    <t>p</t>
  </si>
  <si>
    <t>Dell price at expiration</t>
  </si>
  <si>
    <t xml:space="preserve"> </t>
  </si>
  <si>
    <t>Today</t>
  </si>
  <si>
    <t>Expire</t>
  </si>
  <si>
    <t>Using the Option Price to Find the Implied Volatility</t>
  </si>
  <si>
    <t>Put duration</t>
  </si>
  <si>
    <t>Risk free rate</t>
  </si>
  <si>
    <t>Actual growth rate</t>
  </si>
  <si>
    <t>Volatility</t>
  </si>
  <si>
    <t>Put value at expiration</t>
  </si>
  <si>
    <t>% Gain without put</t>
  </si>
  <si>
    <t xml:space="preserve">% Gain with put </t>
  </si>
  <si>
    <t>s</t>
  </si>
  <si>
    <t>rf</t>
  </si>
  <si>
    <t>Option Price</t>
  </si>
  <si>
    <t>μ</t>
  </si>
  <si>
    <t>σ</t>
  </si>
  <si>
    <t>Written By Version</t>
  </si>
  <si>
    <t>Serialization Major Version</t>
  </si>
  <si>
    <t>Serialization Minor Version</t>
  </si>
  <si>
    <t>Browse Record</t>
  </si>
  <si>
    <t>Display Mode</t>
  </si>
  <si>
    <t>Sens Graph Type</t>
  </si>
  <si>
    <t>Cond Sens Settings</t>
  </si>
  <si>
    <t>Scenario Settings</t>
  </si>
  <si>
    <t>Selected Scenario</t>
  </si>
  <si>
    <t>Distribution Options</t>
  </si>
  <si>
    <t>Distribution GS</t>
  </si>
  <si>
    <t>Distribution Curves</t>
  </si>
  <si>
    <t>Sens Tornado Options</t>
  </si>
  <si>
    <t>Sens Tornado GS</t>
  </si>
  <si>
    <t>Sens Tornado Curves</t>
  </si>
  <si>
    <t>Scen Tornado Options</t>
  </si>
  <si>
    <t>Scen Tornado GS</t>
  </si>
  <si>
    <t>Scen Tornado Curves</t>
  </si>
  <si>
    <t>Sens Spider Option</t>
  </si>
  <si>
    <t>Sens Spider GS</t>
  </si>
  <si>
    <t>Sens Spider Curves</t>
  </si>
  <si>
    <t>GF1_rK0qDwEAEQAFAQwjACcAOQBWAGoAawB5AIcA4QABAfsAKwD//wAABAAAAAEEAAAAAAQwLjAlAAAAARdEaXN0cmlidXRpb24gQ29tcGFyaXNvbgEAAQEQAAIAAQpTdGF0aXN0aWNzAwEBAP8BAQEBAQABAQEABAAAAAEBAQEBAAEBAQAEAAAAAo4AArgAAiYAGSUgR2FpbiB3aXRob3V0IFB1dCBPcHRpb24AAAD/3BQ8AQAAAgACACUAHCUgR2FpbiB3aXRoIFB1dCBvcHRpb24gaGVkZ2UAASUBAAACAAIA6QDyAAEBAwGamZmZmZnJvwEAAAAAAADwfwEFAAEBAQABAQEA</t>
  </si>
  <si>
    <t>Index</t>
  </si>
  <si>
    <t>Dist</t>
  </si>
  <si>
    <t>Type</t>
  </si>
  <si>
    <t>GF1_rK0qDwEAEQDgAAwjACcAOQBdAHEAcgCAAI4AvADcANYAKwD//wAAAAAAAAEEAAAAAAQwLjAlAAAAARklIEdhaW4gd2l0aG91dCBQdXQgT3B0aW9uAQVTaW0jMwEBEAACAAEKU3RhdGlzdGljcwMBAQD/AQEBAQEAAQEBAAQAAAABAQEBAQABAQEABAAAAAGSAAImABklIEdhaW4gd2l0aG91dCBQdXQgT3B0aW9uAAAA/9wUPAEAAAIAAgDEAM0AAQEDAQAAAAAAAAAAAQAAAAAAAPB/AQUAAQEBAAEBAQA=</t>
  </si>
  <si>
    <t>GF1_rK0qDwEAEQDgAAwjACcAOQBdAHEAcgCAAI4AvADcANYAKwD//wAAAAAAAAEEAAAAAAQwLjAlAAAAARklIEdhaW4gd2l0aG91dCBQdXQgT3B0aW9uAQVTaW0jMgEBEAACAAEKU3RhdGlzdGljcwMBAQD/AQEBAQEAAQEBAAQAAAABAQEBAQABAQEABAAAAAGSAAImABklIEdhaW4gd2l0aG91dCBQdXQgT3B0aW9uAAAA/9wUPAEAAAIAAgDEAM0AAQEDAQAAAAAAAAAAAQAAAAAAAPB/AQUAAQEBAAEBAQA=</t>
  </si>
  <si>
    <t>GF1_rK0qDwEAEQDgAAwjACcAOQBdAHEAcgCAAI4AvADcANYAKwD//wAAAAAAAAEEAAAAAAQwLjAlAAAAARklIEdhaW4gd2l0aG91dCBQdXQgT3B0aW9uAQVTaW0jMQEBEAACAAEKU3RhdGlzdGljcwMBAQD/AQEBAQEAAQEBAAQAAAABAQEBAQABAQEABAAAAAGSAAImABklIEdhaW4gd2l0aG91dCBQdXQgT3B0aW9uAAAA/9wUPAEAAAIAAgDEAM0AAQEDAQAAAAAAAAAAAQAAAAAAAPB/AQUAAQEBAAEBAQA=</t>
  </si>
  <si>
    <t>GF1_rK0qDwEAEQDgAAwjACcAOQBdAHEAcgCAAI4AvADcANYAKwD//wAAAAAAAAEEAAAAAAQwLjAlAAAAARklIEdhaW4gd2l0aG91dCBQdXQgT3B0aW9uAQVTaW0jNQEBEAACAAEKU3RhdGlzdGljcwMBAQD/AQEBAQEAAQEBAAQAAAABAQEBAQABAQEABAAAAAGSAAImABklIEdhaW4gd2l0aG91dCBQdXQgT3B0aW9uAAAA/9wUPAEAAAIAAgDEAM0AAQEDAQAAAAAAAAAAAQAAAAAAAPB/AQUAAQEBAAEBAQA=</t>
  </si>
  <si>
    <t>GF1_rK0qDwEAEQDRAAwjACcAPABXAGsAbAB6AIgArQDNAMcAKwD//wAAAAAAAAEEAAAAAAdHZW5lcmFsAAAAARBEZWxsIFN0b2NrIFByaWNlAQVTaW0jNQEBEAACAAEKU3RhdGlzdGljcwMBAQD/AQEBAQEAAQEBAAQAAAABAQEBAQABAQEABAAAAAGMAAIdABBEZWxsIFN0b2NrIFByaWNlAAAA/9wUPAEAAAIAAgC1AL4AAQEDAQAAAAAAgFdAAQAAAAAAAPB/AQUAAQEBAAEBAQA=</t>
  </si>
  <si>
    <t>GF1_rK0qDwEAEQDRAAwjACcAPABXAGsAbAB6AIgArQDNAMcAKwD//wAAAAAAAAEEAAAAAAdHZW5lcmFsAAAAARBEZWxsIFN0b2NrIFByaWNlAQVTaW0jNAEBEAACAAEKU3RhdGlzdGljcwMBAQD/AQEBAQEAAQEBAAQAAAABAQEBAQABAQEABAAAAAGMAAIdABBEZWxsIFN0b2NrIFByaWNlAAAA/9wUPAEAAAIAAgC1AL4AAQEDAQAAAAAAgFdAAQAAAAAAAPB/AQUAAQEBAAEBAQA=</t>
  </si>
  <si>
    <t>GF1_rK0qDwEAEQDRAAwjACcAPABXAGsAbAB6AIgArQDNAMcAKwD//wAAAAAAAAEEAAAAAAdHZW5lcmFsAAAAARBEZWxsIFN0b2NrIFByaWNlAQVTaW0jMQEBEAACAAEKU3RhdGlzdGljcwMBAQD/AQEBAQEAAQEBAAQAAAABAQEBAQABAQEABAAAAAGMAAIdABBEZWxsIFN0b2NrIFByaWNlAAAA/9wUPAEAAAIAAgC1AL4AAQEDAQAAAAAAgFdAAQAAAAAAAPB/AQUAAQEBAAEBAQA=</t>
  </si>
  <si>
    <t>GF1_rK0qDwEAEQDRAAwjACcAPABXAGsAbAB6AIgArQDNAMcAKwD//wAAAAAAAAEEAAAAAAdHZW5lcmFsAAAAARBEZWxsIFN0b2NrIFByaWNlAQVTaW0jMwEBEAACAAEKU3RhdGlzdGljcwMBAQD/AQEBAQEAAQEBAAQAAAABAQEBAQABAQEABAAAAAGMAAIdABBEZWxsIFN0b2NrIFByaWNlAAAA/9wUPAEAAAIAAgC1AL4AAQEDAQAAAAAAgFdAAQAAAAAAAPB/AQUAAQEBAAEBAQA=</t>
  </si>
  <si>
    <t>GF1_rK0qDwEAEQDRAAwjACcAPABXAGsAbAB6AIgArQDNAMcAKwD//wAAAAAAAAEEAAAAAAdHZW5lcmFsAAAAARBEZWxsIFN0b2NrIFByaWNlAQVTaW0jMgEBEAACAAEKU3RhdGlzdGljcwMBAQD/AQEBAQEAAQEBAAQAAAABAQEBAQABAQEABAAAAAGMAAIdABBEZWxsIFN0b2NrIFByaWNlAAAA/9wUPAEAAAIAAgC1AL4AAQEDAQAAAAAAgFdAAQAAAAAAAPB/AQUAAQEBAAEBAQA=</t>
  </si>
  <si>
    <t>Distribution Record</t>
  </si>
  <si>
    <t>Reserved</t>
  </si>
  <si>
    <t>Record Count</t>
  </si>
  <si>
    <t>Inputs</t>
  </si>
  <si>
    <t>1_x0001_18_x0001_0_x0001_RiskUniform(0,0.3)</t>
  </si>
  <si>
    <t>GF1_rK0qDwEAEQC7AAwjACcAPABKAF4AXwBtAHsAlQC3ALEAKwD//wAAAAAAAAEEAAAAAAdHZW5lcmFsAAAAAQhEaXN0IC8gMgEAAQEQAAIAAQpTdGF0aXN0aWNzAwEBAP8BAQEBAQABAQEABAAAAAEBAQEBAAEBAQAEAAAAAX8AABQAB1VuaWZvcm0AAAD/AAD/AQAAAgCdAKcAAQEDAZqZmZmZmak/AABmZmZmZmbuPwAABQABAQEAAQEBAA==</t>
  </si>
  <si>
    <t>8.3.3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</si>
</sst>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0.0%"/>
    <numFmt numFmtId="168" formatCode="0.0000%"/>
    <numFmt numFmtId="171" formatCode="[$-F800]dddd\,\ mmmm\ dd\,\ yyyy"/>
  </numFmts>
  <fonts count="4" x14ac:knownFonts="1">
    <font>
      <sz val="10"/>
      <name val="Arial"/>
    </font>
    <font>
      <sz val="10"/>
      <name val="Arial"/>
      <family val="2"/>
    </font>
    <font>
      <b/>
      <sz val="14"/>
      <name val="Cambria"/>
      <family val="1"/>
      <scheme val="major"/>
    </font>
    <font>
      <sz val="14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1" fontId="0" fillId="0" borderId="0" xfId="0" applyNumberFormat="1"/>
    <xf numFmtId="2" fontId="0" fillId="0" borderId="0" xfId="0" applyNumberFormat="1"/>
    <xf numFmtId="0" fontId="2" fillId="0" borderId="5" xfId="0" applyFont="1" applyBorder="1"/>
    <xf numFmtId="0" fontId="3" fillId="0" borderId="0" xfId="0" applyFont="1"/>
    <xf numFmtId="0" fontId="3" fillId="0" borderId="6" xfId="0" applyFont="1" applyBorder="1"/>
    <xf numFmtId="166" fontId="3" fillId="0" borderId="6" xfId="1" applyFont="1" applyBorder="1"/>
    <xf numFmtId="166" fontId="3" fillId="0" borderId="0" xfId="1" applyFont="1" applyBorder="1"/>
    <xf numFmtId="0" fontId="3" fillId="0" borderId="7" xfId="0" applyFont="1" applyBorder="1"/>
    <xf numFmtId="166" fontId="3" fillId="0" borderId="7" xfId="1" applyFont="1" applyBorder="1"/>
    <xf numFmtId="0" fontId="2" fillId="0" borderId="6" xfId="0" applyFont="1" applyBorder="1"/>
    <xf numFmtId="0" fontId="2" fillId="0" borderId="0" xfId="0" applyFont="1"/>
    <xf numFmtId="167" fontId="2" fillId="0" borderId="0" xfId="2" applyNumberFormat="1" applyFont="1" applyBorder="1"/>
    <xf numFmtId="167" fontId="2" fillId="0" borderId="7" xfId="2" applyNumberFormat="1" applyFont="1" applyBorder="1"/>
    <xf numFmtId="0" fontId="3" fillId="3" borderId="5" xfId="0" applyFont="1" applyFill="1" applyBorder="1"/>
    <xf numFmtId="0" fontId="3" fillId="0" borderId="5" xfId="0" applyFont="1" applyBorder="1"/>
    <xf numFmtId="11" fontId="3" fillId="0" borderId="0" xfId="0" applyNumberFormat="1" applyFont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3" fillId="2" borderId="1" xfId="0" applyNumberFormat="1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7" xfId="0" applyFont="1" applyFill="1" applyBorder="1"/>
    <xf numFmtId="0" fontId="3" fillId="2" borderId="1" xfId="0" applyFont="1" applyFill="1" applyBorder="1"/>
    <xf numFmtId="14" fontId="3" fillId="0" borderId="0" xfId="0" applyNumberFormat="1" applyFont="1"/>
    <xf numFmtId="2" fontId="3" fillId="0" borderId="0" xfId="0" applyNumberFormat="1" applyFont="1"/>
    <xf numFmtId="168" fontId="3" fillId="2" borderId="4" xfId="0" applyNumberFormat="1" applyFont="1" applyFill="1" applyBorder="1"/>
    <xf numFmtId="10" fontId="3" fillId="0" borderId="2" xfId="0" applyNumberFormat="1" applyFont="1" applyBorder="1"/>
    <xf numFmtId="0" fontId="3" fillId="0" borderId="0" xfId="0" applyFont="1" applyAlignment="1">
      <alignment horizontal="right"/>
    </xf>
    <xf numFmtId="165" fontId="3" fillId="2" borderId="3" xfId="0" applyNumberFormat="1" applyFont="1" applyFill="1" applyBorder="1"/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65" fontId="3" fillId="2" borderId="0" xfId="0" applyNumberFormat="1" applyFont="1" applyFill="1"/>
    <xf numFmtId="0" fontId="3" fillId="0" borderId="6" xfId="0" quotePrefix="1" applyFont="1" applyBorder="1" applyAlignment="1">
      <alignment horizontal="right"/>
    </xf>
    <xf numFmtId="0" fontId="3" fillId="0" borderId="7" xfId="0" quotePrefix="1" applyFont="1" applyBorder="1" applyAlignment="1">
      <alignment horizontal="right"/>
    </xf>
    <xf numFmtId="0" fontId="3" fillId="4" borderId="0" xfId="0" applyFont="1" applyFill="1"/>
    <xf numFmtId="171" fontId="3" fillId="3" borderId="6" xfId="0" applyNumberFormat="1" applyFont="1" applyFill="1" applyBorder="1"/>
    <xf numFmtId="171" fontId="3" fillId="3" borderId="7" xfId="0" applyNumberFormat="1" applyFont="1" applyFill="1" applyBorder="1"/>
    <xf numFmtId="0" fontId="3" fillId="3" borderId="6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12"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098A-1B18-466A-B8DB-24E4CD57C941}">
  <dimension ref="A1:X18"/>
  <sheetViews>
    <sheetView workbookViewId="0"/>
  </sheetViews>
  <sheetFormatPr defaultColWidth="25.7109375" defaultRowHeight="12.75" x14ac:dyDescent="0.2"/>
  <sheetData>
    <row r="1" spans="1:24" x14ac:dyDescent="0.2">
      <c r="A1" t="s">
        <v>41</v>
      </c>
      <c r="B1" t="s">
        <v>81</v>
      </c>
    </row>
    <row r="2" spans="1:24" x14ac:dyDescent="0.2">
      <c r="A2" t="s">
        <v>42</v>
      </c>
      <c r="B2">
        <v>4</v>
      </c>
    </row>
    <row r="3" spans="1:24" x14ac:dyDescent="0.2">
      <c r="A3" t="s">
        <v>43</v>
      </c>
      <c r="B3">
        <v>0</v>
      </c>
    </row>
    <row r="5" spans="1:24" x14ac:dyDescent="0.2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J5" t="s">
        <v>50</v>
      </c>
      <c r="K5" t="s">
        <v>51</v>
      </c>
      <c r="L5" t="s">
        <v>52</v>
      </c>
      <c r="N5" t="s">
        <v>53</v>
      </c>
      <c r="O5" t="s">
        <v>54</v>
      </c>
      <c r="P5" t="s">
        <v>55</v>
      </c>
      <c r="R5" t="s">
        <v>56</v>
      </c>
      <c r="S5" t="s">
        <v>57</v>
      </c>
      <c r="T5" t="s">
        <v>58</v>
      </c>
      <c r="V5" t="s">
        <v>59</v>
      </c>
      <c r="W5" t="s">
        <v>60</v>
      </c>
      <c r="X5" t="s">
        <v>61</v>
      </c>
    </row>
    <row r="6" spans="1:24" x14ac:dyDescent="0.2">
      <c r="A6" t="e">
        <f ca="1">ModelRef(RiskSim!$B$13,1,0,2)</f>
        <v>#NAME?</v>
      </c>
      <c r="B6">
        <v>0</v>
      </c>
      <c r="C6">
        <v>3</v>
      </c>
      <c r="F6">
        <v>0</v>
      </c>
      <c r="K6" t="s">
        <v>66</v>
      </c>
      <c r="L6" t="e">
        <f ca="1">ModelRef(RiskSim!$B$13,1,0,2)</f>
        <v>#NAME?</v>
      </c>
    </row>
    <row r="7" spans="1:24" x14ac:dyDescent="0.2">
      <c r="A7" t="e">
        <f ca="1">ModelRef(RiskSim!$B$13,1,0,1)</f>
        <v>#NAME?</v>
      </c>
      <c r="B7">
        <v>0</v>
      </c>
      <c r="C7">
        <v>3</v>
      </c>
      <c r="F7">
        <v>0</v>
      </c>
      <c r="K7" t="s">
        <v>67</v>
      </c>
      <c r="L7" t="e">
        <f ca="1">ModelRef(RiskSim!$B$13,1,0,1)</f>
        <v>#NAME?</v>
      </c>
    </row>
    <row r="8" spans="1:24" x14ac:dyDescent="0.2">
      <c r="A8" t="e">
        <f ca="1">ModelRef(RiskSim!$B$13,1,0,0)</f>
        <v>#NAME?</v>
      </c>
      <c r="B8">
        <v>0</v>
      </c>
      <c r="C8">
        <v>3</v>
      </c>
      <c r="F8">
        <v>0</v>
      </c>
      <c r="K8" t="s">
        <v>68</v>
      </c>
      <c r="L8" t="e">
        <f ca="1">ModelRef(RiskSim!$B$13,1,0,0)</f>
        <v>#NAME?</v>
      </c>
    </row>
    <row r="9" spans="1:24" x14ac:dyDescent="0.2">
      <c r="A9" t="e">
        <f ca="1">ModelRef(RiskSim!$B$13,1,0,4)</f>
        <v>#NAME?</v>
      </c>
      <c r="B9">
        <v>0</v>
      </c>
      <c r="C9">
        <v>3</v>
      </c>
      <c r="F9">
        <v>0</v>
      </c>
      <c r="K9" t="s">
        <v>69</v>
      </c>
      <c r="L9" t="e">
        <f ca="1">ModelRef(RiskSim!$B$13,1,0,4)</f>
        <v>#NAME?</v>
      </c>
    </row>
    <row r="10" spans="1:24" x14ac:dyDescent="0.2">
      <c r="A10" t="e">
        <f ca="1">ModelRef(RiskSim!$B$10,1,0,4)</f>
        <v>#NAME?</v>
      </c>
      <c r="B10">
        <v>0</v>
      </c>
      <c r="C10">
        <v>3</v>
      </c>
      <c r="F10">
        <v>0</v>
      </c>
      <c r="K10" t="s">
        <v>70</v>
      </c>
      <c r="L10" t="e">
        <f ca="1">ModelRef(RiskSim!$B$10,1,0,4)</f>
        <v>#NAME?</v>
      </c>
    </row>
    <row r="11" spans="1:24" x14ac:dyDescent="0.2">
      <c r="A11" t="e">
        <f ca="1">ModelRef(RiskSim!$B$10,1,0,3)</f>
        <v>#NAME?</v>
      </c>
      <c r="B11">
        <v>0</v>
      </c>
      <c r="C11">
        <v>3</v>
      </c>
      <c r="F11">
        <v>0</v>
      </c>
      <c r="K11" t="s">
        <v>71</v>
      </c>
      <c r="L11" t="e">
        <f ca="1">ModelRef(RiskSim!$B$10,1,0,3)</f>
        <v>#NAME?</v>
      </c>
    </row>
    <row r="12" spans="1:24" x14ac:dyDescent="0.2">
      <c r="A12" t="e">
        <f ca="1">ModelRef(RiskSim!$B$10,1,0,0)</f>
        <v>#NAME?</v>
      </c>
      <c r="B12">
        <v>0</v>
      </c>
      <c r="C12">
        <v>3</v>
      </c>
      <c r="F12">
        <v>0</v>
      </c>
      <c r="K12" t="s">
        <v>72</v>
      </c>
      <c r="L12" t="e">
        <f ca="1">ModelRef(RiskSim!$B$10,1,0,0)</f>
        <v>#NAME?</v>
      </c>
    </row>
    <row r="13" spans="1:24" x14ac:dyDescent="0.2">
      <c r="A13" t="e">
        <f ca="1">ModelRef(RiskSim!$B$10,1,0,2)</f>
        <v>#NAME?</v>
      </c>
      <c r="B13">
        <v>0</v>
      </c>
      <c r="C13">
        <v>3</v>
      </c>
      <c r="F13">
        <v>0</v>
      </c>
      <c r="K13" t="s">
        <v>73</v>
      </c>
      <c r="L13" t="e">
        <f ca="1">ModelRef(RiskSim!$B$10,1,0,2)</f>
        <v>#NAME?</v>
      </c>
    </row>
    <row r="14" spans="1:24" x14ac:dyDescent="0.2">
      <c r="A14" t="e">
        <f ca="1">ModelRef(RiskSim!$B$10,1,0,1)</f>
        <v>#NAME?</v>
      </c>
      <c r="B14">
        <v>0</v>
      </c>
      <c r="C14">
        <v>3</v>
      </c>
      <c r="F14">
        <v>0</v>
      </c>
      <c r="K14" t="s">
        <v>74</v>
      </c>
      <c r="L14" t="e">
        <f ca="1">ModelRef(RiskSim!$B$10,1,0,1)</f>
        <v>#NAME?</v>
      </c>
    </row>
    <row r="15" spans="1:24" x14ac:dyDescent="0.2">
      <c r="A15" t="e">
        <f ca="1">ModelRef(MODEL!$B$14,1,0,0)</f>
        <v>#NAME?</v>
      </c>
      <c r="B15">
        <v>0</v>
      </c>
      <c r="C15">
        <v>3</v>
      </c>
      <c r="F15">
        <v>0</v>
      </c>
      <c r="K15" t="s">
        <v>62</v>
      </c>
      <c r="L15" t="e">
        <f ca="1">ModelRef(MODEL!$B$14,1,0,0)+ModelRef(MODEL!$B$15,1,0,-1)</f>
        <v>#NAME?</v>
      </c>
    </row>
    <row r="17" spans="1:9" x14ac:dyDescent="0.2">
      <c r="A17" t="s">
        <v>75</v>
      </c>
      <c r="C17" t="s">
        <v>76</v>
      </c>
      <c r="D17" t="s">
        <v>77</v>
      </c>
      <c r="E17" t="s">
        <v>78</v>
      </c>
    </row>
    <row r="18" spans="1:9" x14ac:dyDescent="0.2">
      <c r="A18">
        <f ca="1">RiskSim!$G$3</f>
        <v>0.1769046112021421</v>
      </c>
      <c r="D18">
        <v>1</v>
      </c>
      <c r="E18" t="s">
        <v>79</v>
      </c>
      <c r="F18">
        <v>0</v>
      </c>
      <c r="G18" t="s">
        <v>80</v>
      </c>
      <c r="H18" t="s">
        <v>76</v>
      </c>
      <c r="I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20"/>
  <sheetViews>
    <sheetView tabSelected="1" workbookViewId="0"/>
  </sheetViews>
  <sheetFormatPr defaultRowHeight="18" x14ac:dyDescent="0.25"/>
  <cols>
    <col min="1" max="1" width="30.42578125" style="4" bestFit="1" customWidth="1"/>
    <col min="2" max="2" width="18.85546875" style="4" bestFit="1" customWidth="1"/>
    <col min="3" max="3" width="4.42578125" style="4" customWidth="1"/>
    <col min="4" max="4" width="27" style="4" bestFit="1" customWidth="1"/>
    <col min="5" max="5" width="12.140625" style="4" bestFit="1" customWidth="1"/>
    <col min="6" max="6" width="25" style="4" bestFit="1" customWidth="1"/>
    <col min="7" max="7" width="12.85546875" style="4" bestFit="1" customWidth="1"/>
  </cols>
  <sheetData>
    <row r="2" spans="1:9" x14ac:dyDescent="0.25">
      <c r="A2" s="17" t="s">
        <v>0</v>
      </c>
      <c r="B2" s="5"/>
      <c r="C2" s="5"/>
      <c r="D2" s="5"/>
      <c r="E2" s="5"/>
      <c r="F2" s="5"/>
      <c r="G2" s="5"/>
    </row>
    <row r="3" spans="1:9" x14ac:dyDescent="0.25">
      <c r="A3" s="18" t="s">
        <v>28</v>
      </c>
      <c r="B3" s="8"/>
      <c r="C3" s="8"/>
      <c r="D3" s="8"/>
      <c r="E3" s="8"/>
      <c r="F3" s="8"/>
      <c r="G3" s="8"/>
    </row>
    <row r="5" spans="1:9" x14ac:dyDescent="0.25">
      <c r="A5" s="3" t="s">
        <v>1</v>
      </c>
      <c r="B5" s="15"/>
    </row>
    <row r="6" spans="1:9" x14ac:dyDescent="0.25">
      <c r="A6" s="4" t="s">
        <v>2</v>
      </c>
      <c r="B6" s="19">
        <v>94.125</v>
      </c>
      <c r="E6" s="20" t="s">
        <v>26</v>
      </c>
      <c r="F6" s="36">
        <v>45107</v>
      </c>
      <c r="G6" s="38">
        <f>DATEVALUE("2023/06/30")</f>
        <v>45107</v>
      </c>
    </row>
    <row r="7" spans="1:9" x14ac:dyDescent="0.25">
      <c r="A7" s="4" t="s">
        <v>3</v>
      </c>
      <c r="B7" s="19">
        <v>80</v>
      </c>
      <c r="E7" s="21" t="s">
        <v>27</v>
      </c>
      <c r="F7" s="37">
        <v>45252</v>
      </c>
      <c r="G7" s="22">
        <f>DATEVALUE("2023/11/22")</f>
        <v>45252</v>
      </c>
    </row>
    <row r="8" spans="1:9" x14ac:dyDescent="0.25">
      <c r="A8" s="4" t="s">
        <v>4</v>
      </c>
      <c r="B8" s="23">
        <f>145/365</f>
        <v>0.39726027397260272</v>
      </c>
      <c r="E8" s="24"/>
      <c r="F8" s="25"/>
      <c r="G8" s="25">
        <f>G7-G6</f>
        <v>145</v>
      </c>
      <c r="I8" s="2"/>
    </row>
    <row r="9" spans="1:9" ht="18.75" thickBot="1" x14ac:dyDescent="0.3">
      <c r="A9" s="4" t="s">
        <v>5</v>
      </c>
      <c r="B9" s="26">
        <f>LN(1+0.055)</f>
        <v>5.3540766928029761E-2</v>
      </c>
    </row>
    <row r="10" spans="1:9" ht="18.75" thickBot="1" x14ac:dyDescent="0.3"/>
    <row r="11" spans="1:9" ht="19.5" thickTop="1" thickBot="1" x14ac:dyDescent="0.3">
      <c r="A11" s="4" t="s">
        <v>6</v>
      </c>
      <c r="B11" s="27">
        <v>0.53264640052882806</v>
      </c>
    </row>
    <row r="12" spans="1:9" ht="18.75" thickTop="1" x14ac:dyDescent="0.25"/>
    <row r="13" spans="1:9" ht="18.75" thickBot="1" x14ac:dyDescent="0.3">
      <c r="A13" s="4" t="s">
        <v>38</v>
      </c>
      <c r="B13" s="28" t="s">
        <v>8</v>
      </c>
      <c r="D13" s="28" t="s">
        <v>9</v>
      </c>
    </row>
    <row r="14" spans="1:9" ht="18.75" thickBot="1" x14ac:dyDescent="0.3">
      <c r="A14" s="4" t="s">
        <v>7</v>
      </c>
      <c r="B14" s="29"/>
      <c r="C14" s="30" t="s">
        <v>10</v>
      </c>
      <c r="D14" s="31">
        <f>B6*E19-B7*EXP(-B8*B9)*E20</f>
        <v>21.058466363368865</v>
      </c>
    </row>
    <row r="15" spans="1:9" x14ac:dyDescent="0.25">
      <c r="A15" s="4" t="s">
        <v>11</v>
      </c>
      <c r="B15" s="32">
        <v>5.25</v>
      </c>
      <c r="C15" s="30"/>
      <c r="D15" s="31">
        <f>B7*EXP(-B9*B8)*NORMSDIST(-B20)-B6*NORMSDIST(-B19)</f>
        <v>5.2498650351395035</v>
      </c>
    </row>
    <row r="16" spans="1:9" x14ac:dyDescent="0.25">
      <c r="B16" s="32"/>
      <c r="C16" s="30"/>
      <c r="D16" s="31"/>
    </row>
    <row r="18" spans="1:5" x14ac:dyDescent="0.25">
      <c r="A18" s="3" t="s">
        <v>12</v>
      </c>
      <c r="B18" s="15"/>
      <c r="C18" s="15"/>
      <c r="D18" s="15"/>
      <c r="E18" s="15"/>
    </row>
    <row r="19" spans="1:5" x14ac:dyDescent="0.25">
      <c r="A19" s="5" t="s">
        <v>13</v>
      </c>
      <c r="B19" s="5">
        <f>(LN(B6/B7)+(B9+B11^2/2)*B8)/(B11*SQRT(B8))</f>
        <v>0.71553920214325484</v>
      </c>
      <c r="C19" s="5"/>
      <c r="D19" s="33" t="s">
        <v>14</v>
      </c>
      <c r="E19" s="5">
        <f>NORMSDIST(B19)</f>
        <v>0.76286203687600529</v>
      </c>
    </row>
    <row r="20" spans="1:5" x14ac:dyDescent="0.25">
      <c r="A20" s="8" t="s">
        <v>15</v>
      </c>
      <c r="B20" s="8">
        <f>B19-B11*SQRT(B8)</f>
        <v>0.37981970385222119</v>
      </c>
      <c r="C20" s="8"/>
      <c r="D20" s="34" t="s">
        <v>16</v>
      </c>
      <c r="E20" s="8">
        <f>NORMSDIST(B20)</f>
        <v>0.64796037251744365</v>
      </c>
    </row>
  </sheetData>
  <printOptions horizontalCentered="1" verticalCentered="1" headings="1" gridLines="1" gridLinesSet="0"/>
  <pageMargins left="0.75" right="0.75" top="1" bottom="1" header="0.5" footer="0.5"/>
  <pageSetup orientation="portrait" horizontalDpi="300" verticalDpi="300" r:id="rId1"/>
  <headerFooter alignWithMargins="0">
    <oddFooter>&amp;C&amp;"Arial,Bold"Exhibit 28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53"/>
  <sheetViews>
    <sheetView workbookViewId="0">
      <selection activeCell="A20" sqref="A20"/>
    </sheetView>
  </sheetViews>
  <sheetFormatPr defaultRowHeight="18" x14ac:dyDescent="0.25"/>
  <cols>
    <col min="1" max="1" width="28" style="4" bestFit="1" customWidth="1"/>
    <col min="2" max="3" width="18.85546875" style="4" bestFit="1" customWidth="1"/>
    <col min="4" max="7" width="9.140625" style="4"/>
  </cols>
  <sheetData>
    <row r="2" spans="1:4" x14ac:dyDescent="0.25">
      <c r="A2" s="3" t="s">
        <v>17</v>
      </c>
      <c r="B2" s="3" t="s">
        <v>18</v>
      </c>
      <c r="C2" s="3"/>
      <c r="D2" s="11"/>
    </row>
    <row r="3" spans="1:4" x14ac:dyDescent="0.25">
      <c r="A3" s="5" t="s">
        <v>19</v>
      </c>
      <c r="B3" s="5" t="s">
        <v>36</v>
      </c>
      <c r="C3" s="6">
        <v>94</v>
      </c>
    </row>
    <row r="4" spans="1:4" x14ac:dyDescent="0.25">
      <c r="A4" s="4" t="s">
        <v>20</v>
      </c>
      <c r="B4" s="4" t="s">
        <v>21</v>
      </c>
      <c r="C4" s="7">
        <v>80</v>
      </c>
    </row>
    <row r="5" spans="1:4" x14ac:dyDescent="0.25">
      <c r="A5" s="4" t="s">
        <v>29</v>
      </c>
      <c r="B5" s="4" t="s">
        <v>22</v>
      </c>
      <c r="C5" s="4">
        <f>145/365</f>
        <v>0.39726027397260272</v>
      </c>
    </row>
    <row r="6" spans="1:4" x14ac:dyDescent="0.25">
      <c r="A6" s="4" t="s">
        <v>30</v>
      </c>
      <c r="B6" s="4" t="s">
        <v>37</v>
      </c>
      <c r="C6" s="4">
        <f>LN(1+0.055)</f>
        <v>5.3540766928029761E-2</v>
      </c>
    </row>
    <row r="7" spans="1:4" x14ac:dyDescent="0.25">
      <c r="A7" s="4" t="s">
        <v>31</v>
      </c>
      <c r="B7" s="4" t="s">
        <v>39</v>
      </c>
      <c r="C7" s="4">
        <f ca="1">_xll.RiskDuniform({0,0.1,0.2,0.3})</f>
        <v>0.3</v>
      </c>
    </row>
    <row r="8" spans="1:4" x14ac:dyDescent="0.25">
      <c r="A8" s="4" t="s">
        <v>32</v>
      </c>
      <c r="B8" s="4" t="s">
        <v>40</v>
      </c>
      <c r="C8" s="4">
        <v>0.53269999999999995</v>
      </c>
    </row>
    <row r="9" spans="1:4" x14ac:dyDescent="0.25">
      <c r="A9" s="8" t="s">
        <v>11</v>
      </c>
      <c r="B9" s="8" t="s">
        <v>23</v>
      </c>
      <c r="C9" s="9">
        <v>5.25</v>
      </c>
    </row>
    <row r="11" spans="1:4" x14ac:dyDescent="0.25">
      <c r="A11" s="5" t="s">
        <v>24</v>
      </c>
      <c r="B11" s="10">
        <f ca="1">_xll.RiskOutput("Dell Stock Price")+S*EXP((g-0.5*v^2)*d+_xll.RiskNormal(0,1)*v*SQRT(d))</f>
        <v>52.645924540130466</v>
      </c>
      <c r="C11" s="5"/>
    </row>
    <row r="12" spans="1:4" x14ac:dyDescent="0.25">
      <c r="A12" s="4" t="s">
        <v>33</v>
      </c>
      <c r="B12" s="11">
        <f ca="1">IF(B11&gt;x,0,x-B11)</f>
        <v>27.354075459869534</v>
      </c>
    </row>
    <row r="13" spans="1:4" x14ac:dyDescent="0.25">
      <c r="B13" s="11"/>
    </row>
    <row r="14" spans="1:4" x14ac:dyDescent="0.25">
      <c r="A14" s="4" t="s">
        <v>34</v>
      </c>
      <c r="B14" s="12">
        <f ca="1">_xll.RiskOutput("% Gain without Put Option") + (B11-S)/S</f>
        <v>-0.43993697297733547</v>
      </c>
    </row>
    <row r="15" spans="1:4" x14ac:dyDescent="0.25">
      <c r="A15" s="8" t="s">
        <v>35</v>
      </c>
      <c r="B15" s="13">
        <f ca="1">_xll.RiskOutput("% Gain with Put option hedge") + ((B12+B11)-(S+p))/(S+p)</f>
        <v>-0.19395465994962216</v>
      </c>
      <c r="C15" s="8"/>
    </row>
    <row r="18" spans="5:8" x14ac:dyDescent="0.25">
      <c r="H18" t="s">
        <v>25</v>
      </c>
    </row>
    <row r="24" spans="5:8" x14ac:dyDescent="0.25">
      <c r="E24" s="16"/>
      <c r="F24" s="16"/>
      <c r="H24" s="1"/>
    </row>
    <row r="26" spans="5:8" x14ac:dyDescent="0.25">
      <c r="E26" s="16"/>
      <c r="F26" s="16"/>
      <c r="H26" s="1"/>
    </row>
    <row r="27" spans="5:8" x14ac:dyDescent="0.25">
      <c r="G27" s="16"/>
      <c r="H27" s="1"/>
    </row>
    <row r="28" spans="5:8" x14ac:dyDescent="0.25">
      <c r="F28" s="16"/>
    </row>
    <row r="29" spans="5:8" x14ac:dyDescent="0.25">
      <c r="E29" s="16"/>
      <c r="G29" s="16"/>
      <c r="H29" s="1"/>
    </row>
    <row r="30" spans="5:8" x14ac:dyDescent="0.25">
      <c r="E30" s="16"/>
      <c r="F30" s="16"/>
      <c r="H30" s="1"/>
    </row>
    <row r="31" spans="5:8" x14ac:dyDescent="0.25">
      <c r="E31" s="16"/>
      <c r="F31" s="16"/>
    </row>
    <row r="32" spans="5:8" x14ac:dyDescent="0.25">
      <c r="F32" s="16"/>
    </row>
    <row r="33" spans="5:8" x14ac:dyDescent="0.25">
      <c r="F33" s="16"/>
    </row>
    <row r="38" spans="5:8" x14ac:dyDescent="0.25">
      <c r="E38" s="16"/>
    </row>
    <row r="39" spans="5:8" x14ac:dyDescent="0.25">
      <c r="E39" s="16"/>
      <c r="F39" s="16"/>
    </row>
    <row r="40" spans="5:8" x14ac:dyDescent="0.25">
      <c r="E40" s="16"/>
      <c r="F40" s="16"/>
      <c r="H40" s="1"/>
    </row>
    <row r="41" spans="5:8" x14ac:dyDescent="0.25">
      <c r="E41" s="16"/>
      <c r="F41" s="16"/>
    </row>
    <row r="42" spans="5:8" x14ac:dyDescent="0.25">
      <c r="E42" s="16"/>
      <c r="F42" s="16"/>
      <c r="H42" s="1"/>
    </row>
    <row r="43" spans="5:8" x14ac:dyDescent="0.25">
      <c r="E43" s="16"/>
      <c r="F43" s="16"/>
    </row>
    <row r="44" spans="5:8" x14ac:dyDescent="0.25">
      <c r="E44" s="16"/>
      <c r="F44" s="16"/>
    </row>
    <row r="45" spans="5:8" x14ac:dyDescent="0.25">
      <c r="F45" s="16"/>
    </row>
    <row r="53" spans="8:8" x14ac:dyDescent="0.25">
      <c r="H53">
        <v>0</v>
      </c>
    </row>
  </sheetData>
  <conditionalFormatting sqref="C7 B11 B14:B15">
    <cfRule type="expression" dxfId="5" priority="1" stopIfTrue="1">
      <formula>RiskColorCellsSimOutput</formula>
    </cfRule>
    <cfRule type="expression" dxfId="4" priority="2" stopIfTrue="1">
      <formula>RiskColorCellsSimInput</formula>
    </cfRule>
    <cfRule type="expression" dxfId="3" priority="3" stopIfTrue="1">
      <formula>RiskColorCellsSimStatistics</formula>
    </cfRule>
  </conditionalFormatting>
  <printOptions headings="1" gridLines="1"/>
  <pageMargins left="0.75" right="0.75" top="1" bottom="1" header="0.5" footer="0.5"/>
  <pageSetup scale="87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B17" sqref="B17"/>
    </sheetView>
  </sheetViews>
  <sheetFormatPr defaultRowHeight="18" x14ac:dyDescent="0.25"/>
  <cols>
    <col min="1" max="1" width="28" style="4" bestFit="1" customWidth="1"/>
    <col min="2" max="3" width="18.85546875" style="4" bestFit="1" customWidth="1"/>
    <col min="4" max="16384" width="9.140625" style="4"/>
  </cols>
  <sheetData>
    <row r="1" spans="1:10" x14ac:dyDescent="0.25">
      <c r="A1" s="3" t="s">
        <v>17</v>
      </c>
      <c r="B1" s="3" t="s">
        <v>18</v>
      </c>
      <c r="C1" s="3"/>
    </row>
    <row r="2" spans="1:10" x14ac:dyDescent="0.25">
      <c r="A2" s="5" t="s">
        <v>19</v>
      </c>
      <c r="B2" s="5" t="s">
        <v>36</v>
      </c>
      <c r="C2" s="6">
        <v>94</v>
      </c>
      <c r="E2" s="14" t="s">
        <v>65</v>
      </c>
      <c r="F2" s="14">
        <v>1</v>
      </c>
      <c r="G2" s="14">
        <v>2</v>
      </c>
      <c r="H2" s="14">
        <v>3</v>
      </c>
      <c r="I2" s="14">
        <v>4</v>
      </c>
      <c r="J2" s="14">
        <v>5</v>
      </c>
    </row>
    <row r="3" spans="1:10" x14ac:dyDescent="0.25">
      <c r="A3" s="4" t="s">
        <v>20</v>
      </c>
      <c r="B3" s="4" t="s">
        <v>21</v>
      </c>
      <c r="C3" s="7">
        <v>80</v>
      </c>
      <c r="E3" s="15" t="s">
        <v>64</v>
      </c>
      <c r="F3" s="15">
        <f ca="1">_xll.RiskDuniform({0,0.1,0.2,0.3})</f>
        <v>0.3</v>
      </c>
      <c r="G3" s="15">
        <f ca="1">_xll.RiskUniform(0,0.3)</f>
        <v>0.1769046112021421</v>
      </c>
      <c r="H3" s="15">
        <f ca="1">_xll.RiskTriang(0,0.15,0.3)</f>
        <v>0.1671393818533147</v>
      </c>
      <c r="I3" s="15">
        <f ca="1">_xll.RiskNormal(0.15,0.15)</f>
        <v>2.0560167384507388E-3</v>
      </c>
      <c r="J3" s="15">
        <f ca="1">_xll.RiskPert(0,0.15,0.3)</f>
        <v>4.8248363240156245E-2</v>
      </c>
    </row>
    <row r="4" spans="1:10" x14ac:dyDescent="0.25">
      <c r="A4" s="4" t="s">
        <v>29</v>
      </c>
      <c r="B4" s="4" t="s">
        <v>22</v>
      </c>
      <c r="C4" s="4">
        <f>145/365</f>
        <v>0.39726027397260272</v>
      </c>
    </row>
    <row r="5" spans="1:10" x14ac:dyDescent="0.25">
      <c r="A5" s="4" t="s">
        <v>30</v>
      </c>
      <c r="B5" s="4" t="s">
        <v>37</v>
      </c>
      <c r="C5" s="4">
        <f>LN(1+0.055)</f>
        <v>5.3540766928029761E-2</v>
      </c>
      <c r="E5" s="4" t="s">
        <v>63</v>
      </c>
    </row>
    <row r="6" spans="1:10" x14ac:dyDescent="0.25">
      <c r="A6" s="4" t="s">
        <v>31</v>
      </c>
      <c r="B6" s="4" t="s">
        <v>39</v>
      </c>
      <c r="C6" s="35">
        <f ca="1">IF(E6=1, F3, IF(E6=2, G3, IF(E6=3, H3, IF(E6=4, I3, J3))))</f>
        <v>0.3</v>
      </c>
      <c r="E6" s="4">
        <f ca="1">_xll.RiskSimtable(F2:J2)</f>
        <v>1</v>
      </c>
    </row>
    <row r="7" spans="1:10" x14ac:dyDescent="0.25">
      <c r="A7" s="4" t="s">
        <v>32</v>
      </c>
      <c r="B7" s="4" t="s">
        <v>40</v>
      </c>
      <c r="C7" s="4">
        <v>0.53269999999999995</v>
      </c>
    </row>
    <row r="8" spans="1:10" x14ac:dyDescent="0.25">
      <c r="A8" s="8" t="s">
        <v>11</v>
      </c>
      <c r="B8" s="8" t="s">
        <v>23</v>
      </c>
      <c r="C8" s="9">
        <v>5.25</v>
      </c>
    </row>
    <row r="10" spans="1:10" x14ac:dyDescent="0.25">
      <c r="A10" s="5" t="s">
        <v>24</v>
      </c>
      <c r="B10" s="10">
        <f ca="1">_xll.RiskOutput("Dell Stock Price")+S*EXP((g-0.5*v^2)*d+_xll.RiskNormal(0,1)*v*SQRT(d))</f>
        <v>106.88334984781355</v>
      </c>
      <c r="C10" s="5"/>
    </row>
    <row r="11" spans="1:10" x14ac:dyDescent="0.25">
      <c r="A11" s="4" t="s">
        <v>33</v>
      </c>
      <c r="B11" s="11">
        <f ca="1">IF(B10&gt;x,0,x-B10)</f>
        <v>0</v>
      </c>
    </row>
    <row r="12" spans="1:10" x14ac:dyDescent="0.25">
      <c r="B12" s="11"/>
    </row>
    <row r="13" spans="1:10" x14ac:dyDescent="0.25">
      <c r="A13" s="4" t="s">
        <v>34</v>
      </c>
      <c r="B13" s="12">
        <f ca="1">_xll.RiskOutput("% Gain without Put Option") + (B10-S)/S</f>
        <v>0.13705691327461222</v>
      </c>
    </row>
    <row r="14" spans="1:10" x14ac:dyDescent="0.25">
      <c r="A14" s="8" t="s">
        <v>35</v>
      </c>
      <c r="B14" s="13">
        <f ca="1">_xll.RiskOutput("% Gain with Put option hedge") + ((B11+B10)-(S+p))/(S+p)</f>
        <v>7.6910325922554645E-2</v>
      </c>
      <c r="C14" s="8"/>
    </row>
  </sheetData>
  <conditionalFormatting sqref="F3:J3 E6 B10 B13:B14">
    <cfRule type="expression" dxfId="2" priority="1" stopIfTrue="1">
      <formula>RiskColorCellsSimOutput</formula>
    </cfRule>
    <cfRule type="expression" dxfId="1" priority="2" stopIfTrue="1">
      <formula>RiskColorCellsSimInput</formula>
    </cfRule>
    <cfRule type="expression" dxfId="0" priority="3" stopIfTrue="1">
      <formula>RiskColorCellsSimStatistics</formula>
    </cfRule>
  </conditionalFormatting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C38" sqref="C38"/>
    </sheetView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RiskSerializationData8</vt:lpstr>
      <vt:lpstr>IMPVOL</vt:lpstr>
      <vt:lpstr>MODEL</vt:lpstr>
      <vt:lpstr>RiskSim</vt:lpstr>
      <vt:lpstr>Sheet3</vt:lpstr>
      <vt:lpstr>RiskSerializationData8!BrowseRecords</vt:lpstr>
      <vt:lpstr>d</vt:lpstr>
      <vt:lpstr>RiskSerializationData8!DistributionRecords</vt:lpstr>
      <vt:lpstr>g</vt:lpstr>
      <vt:lpstr>p</vt:lpstr>
      <vt:lpstr>r_</vt:lpstr>
      <vt:lpstr>rf</vt:lpstr>
      <vt:lpstr>S</vt:lpstr>
      <vt:lpstr>RiskSerializationData8!SerializationHeader</vt:lpstr>
      <vt:lpstr>v</vt:lpstr>
      <vt:lpstr>x</vt:lpstr>
    </vt:vector>
  </TitlesOfParts>
  <Company>Indiana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Business</dc:creator>
  <cp:lastModifiedBy>Mohammad Rahaman</cp:lastModifiedBy>
  <dcterms:created xsi:type="dcterms:W3CDTF">1998-07-16T16:22:12Z</dcterms:created>
  <dcterms:modified xsi:type="dcterms:W3CDTF">2024-02-12T16:47:52Z</dcterms:modified>
</cp:coreProperties>
</file>