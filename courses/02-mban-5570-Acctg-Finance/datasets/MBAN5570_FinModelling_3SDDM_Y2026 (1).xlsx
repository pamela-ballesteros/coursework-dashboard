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5195" windowHeight="7935" activeTab="3"/>
  </bookViews>
  <sheets>
    <sheet name="No-Uncertainty" sheetId="1" r:id="rId1"/>
    <sheet name="With-Uncertainty" sheetId="2" r:id="rId2"/>
    <sheet name="@RISK" sheetId="6" r:id="rId3"/>
    <sheet name="Sensitivity-analysis" sheetId="3" r:id="rId4"/>
    <sheet name="Scenario-analysis-manual" sheetId="4" r:id="rId5"/>
    <sheet name="ScenarioManager" sheetId="5" r:id="rId6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"06/28/2015 18:42:02"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Pal_Workbook_GUID" hidden="1">"32FZUW245NKV3UWTDI3DEYY6"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electedCell" hidden="1">"$L$14"</definedName>
    <definedName name="RiskSelectedNameCell1" hidden="1">"$K$14"</definedName>
    <definedName name="RiskSelectedNameCell2" hidden="1">"$L$2"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145621"/>
</workbook>
</file>

<file path=xl/calcChain.xml><?xml version="1.0" encoding="utf-8"?>
<calcChain xmlns="http://schemas.openxmlformats.org/spreadsheetml/2006/main">
  <c r="I27" i="6" l="1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D3" i="3"/>
  <c r="D4" i="3" s="1"/>
  <c r="T13" i="4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D4" i="5"/>
  <c r="E4" i="5" s="1"/>
  <c r="F9" i="5"/>
  <c r="F10" i="5"/>
  <c r="F11" i="5"/>
  <c r="F12" i="5" s="1"/>
  <c r="F13" i="5" s="1"/>
  <c r="H4" i="5"/>
  <c r="I4" i="5"/>
  <c r="Q13" i="4"/>
  <c r="P13" i="4"/>
  <c r="O13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F9" i="4"/>
  <c r="F10" i="4"/>
  <c r="F11" i="4"/>
  <c r="F12" i="4" s="1"/>
  <c r="F13" i="4" s="1"/>
  <c r="H4" i="4"/>
  <c r="I4" i="4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F9" i="3"/>
  <c r="F10" i="3"/>
  <c r="F11" i="3"/>
  <c r="F12" i="3" s="1"/>
  <c r="F13" i="3" s="1"/>
  <c r="H4" i="3"/>
  <c r="H5" i="3" s="1"/>
  <c r="H4" i="1"/>
  <c r="H5" i="1"/>
  <c r="H6" i="1"/>
  <c r="I6" i="1" s="1"/>
  <c r="D4" i="1"/>
  <c r="D5" i="1"/>
  <c r="D6" i="1" s="1"/>
  <c r="D7" i="1" s="1"/>
  <c r="I16" i="1"/>
  <c r="I17" i="1"/>
  <c r="I18" i="1"/>
  <c r="I19" i="1"/>
  <c r="I20" i="1"/>
  <c r="I21" i="1"/>
  <c r="I22" i="1"/>
  <c r="I23" i="1"/>
  <c r="I24" i="1"/>
  <c r="I25" i="1"/>
  <c r="I26" i="1"/>
  <c r="I27" i="1"/>
  <c r="T9" i="2"/>
  <c r="U9" i="2" s="1"/>
  <c r="T10" i="2"/>
  <c r="U10" i="2" s="1"/>
  <c r="T11" i="2"/>
  <c r="U11" i="2" s="1"/>
  <c r="T12" i="2"/>
  <c r="U12" i="2" s="1"/>
  <c r="T13" i="2"/>
  <c r="U13" i="2" s="1"/>
  <c r="T14" i="2"/>
  <c r="U14" i="2" s="1"/>
  <c r="T15" i="2"/>
  <c r="U15" i="2" s="1"/>
  <c r="T8" i="2"/>
  <c r="U8" i="2" s="1"/>
  <c r="I19" i="2"/>
  <c r="I20" i="2"/>
  <c r="I21" i="2"/>
  <c r="I22" i="2"/>
  <c r="I23" i="2"/>
  <c r="I24" i="2"/>
  <c r="I25" i="2"/>
  <c r="I26" i="2"/>
  <c r="I27" i="2"/>
  <c r="I28" i="2"/>
  <c r="I29" i="2"/>
  <c r="I30" i="2"/>
  <c r="D8" i="2"/>
  <c r="D9" i="2"/>
  <c r="D10" i="2"/>
  <c r="D11" i="2"/>
  <c r="D12" i="2" s="1"/>
  <c r="D13" i="2" s="1"/>
  <c r="D14" i="2" s="1"/>
  <c r="D15" i="2" s="1"/>
  <c r="D16" i="2" s="1"/>
  <c r="D7" i="2"/>
  <c r="E7" i="2" s="1"/>
  <c r="I18" i="2"/>
  <c r="I17" i="2"/>
  <c r="H12" i="2"/>
  <c r="H13" i="2" s="1"/>
  <c r="H14" i="2" s="1"/>
  <c r="I12" i="2"/>
  <c r="I13" i="2"/>
  <c r="F12" i="2"/>
  <c r="F13" i="2" s="1"/>
  <c r="F14" i="2" s="1"/>
  <c r="F15" i="2" s="1"/>
  <c r="F16" i="2" s="1"/>
  <c r="I11" i="2"/>
  <c r="I10" i="2"/>
  <c r="I9" i="2"/>
  <c r="I8" i="2"/>
  <c r="I7" i="2"/>
  <c r="I14" i="1"/>
  <c r="I15" i="1"/>
  <c r="F9" i="1"/>
  <c r="F10" i="1" s="1"/>
  <c r="F11" i="1" s="1"/>
  <c r="F12" i="1"/>
  <c r="F13" i="1" s="1"/>
  <c r="E4" i="1"/>
  <c r="G4" i="1" s="1"/>
  <c r="K4" i="1" s="1"/>
  <c r="H5" i="4"/>
  <c r="H6" i="4" s="1"/>
  <c r="I6" i="4" s="1"/>
  <c r="I5" i="4"/>
  <c r="H7" i="1"/>
  <c r="H8" i="1" s="1"/>
  <c r="I7" i="1"/>
  <c r="I5" i="1"/>
  <c r="D5" i="5"/>
  <c r="D6" i="5" s="1"/>
  <c r="D7" i="5" s="1"/>
  <c r="D8" i="5" s="1"/>
  <c r="D9" i="5" s="1"/>
  <c r="D10" i="5" s="1"/>
  <c r="D11" i="5" s="1"/>
  <c r="D12" i="5" s="1"/>
  <c r="D13" i="5" s="1"/>
  <c r="I4" i="3"/>
  <c r="D8" i="1"/>
  <c r="D9" i="1" s="1"/>
  <c r="D10" i="1"/>
  <c r="D11" i="1" s="1"/>
  <c r="D12" i="1" s="1"/>
  <c r="D13" i="1" s="1"/>
  <c r="I4" i="1"/>
  <c r="H5" i="5"/>
  <c r="H6" i="5"/>
  <c r="I6" i="5" s="1"/>
  <c r="I5" i="5"/>
  <c r="H7" i="5"/>
  <c r="H8" i="5" s="1"/>
  <c r="I8" i="5" s="1"/>
  <c r="I7" i="5"/>
  <c r="H3" i="6"/>
  <c r="H4" i="6" s="1"/>
  <c r="I4" i="6" s="1"/>
  <c r="F3" i="6"/>
  <c r="F4" i="6" s="1"/>
  <c r="F5" i="6" s="1"/>
  <c r="F6" i="6" s="1"/>
  <c r="F7" i="6" s="1"/>
  <c r="F8" i="6" s="1"/>
  <c r="F9" i="6" s="1"/>
  <c r="F10" i="6" s="1"/>
  <c r="F11" i="6" s="1"/>
  <c r="F12" i="6" s="1"/>
  <c r="F13" i="6" s="1"/>
  <c r="D3" i="6"/>
  <c r="D4" i="6" s="1"/>
  <c r="E4" i="6" s="1"/>
  <c r="D3" i="4" l="1"/>
  <c r="D4" i="4" s="1"/>
  <c r="E4" i="4" s="1"/>
  <c r="G4" i="4" s="1"/>
  <c r="K4" i="4" s="1"/>
  <c r="E8" i="2"/>
  <c r="G7" i="2"/>
  <c r="K7" i="2" s="1"/>
  <c r="H5" i="6"/>
  <c r="H7" i="4"/>
  <c r="H15" i="2"/>
  <c r="I14" i="2"/>
  <c r="E5" i="5"/>
  <c r="G4" i="5"/>
  <c r="K4" i="5" s="1"/>
  <c r="I5" i="3"/>
  <c r="H6" i="3"/>
  <c r="H9" i="5"/>
  <c r="E4" i="3"/>
  <c r="D5" i="3"/>
  <c r="D6" i="3" s="1"/>
  <c r="D7" i="3" s="1"/>
  <c r="D8" i="3" s="1"/>
  <c r="D9" i="3" s="1"/>
  <c r="D10" i="3" s="1"/>
  <c r="D11" i="3" s="1"/>
  <c r="D12" i="3" s="1"/>
  <c r="D13" i="3" s="1"/>
  <c r="D5" i="6"/>
  <c r="D6" i="6" s="1"/>
  <c r="D7" i="6" s="1"/>
  <c r="D8" i="6" s="1"/>
  <c r="D9" i="6" s="1"/>
  <c r="D10" i="6" s="1"/>
  <c r="D11" i="6" s="1"/>
  <c r="D12" i="6" s="1"/>
  <c r="D13" i="6" s="1"/>
  <c r="I8" i="1"/>
  <c r="H9" i="1"/>
  <c r="G4" i="6"/>
  <c r="K4" i="6" s="1"/>
  <c r="E5" i="1"/>
  <c r="D5" i="4" l="1"/>
  <c r="D6" i="4" s="1"/>
  <c r="D7" i="4" s="1"/>
  <c r="D8" i="4" s="1"/>
  <c r="D9" i="4" s="1"/>
  <c r="D10" i="4" s="1"/>
  <c r="D11" i="4" s="1"/>
  <c r="D12" i="4" s="1"/>
  <c r="D13" i="4" s="1"/>
  <c r="H6" i="6"/>
  <c r="I5" i="6"/>
  <c r="E9" i="2"/>
  <c r="G8" i="2"/>
  <c r="K8" i="2" s="1"/>
  <c r="G5" i="1"/>
  <c r="K5" i="1" s="1"/>
  <c r="E6" i="1"/>
  <c r="I15" i="2"/>
  <c r="H16" i="2"/>
  <c r="I16" i="2" s="1"/>
  <c r="E6" i="5"/>
  <c r="G5" i="5"/>
  <c r="K5" i="5" s="1"/>
  <c r="I9" i="1"/>
  <c r="H10" i="1"/>
  <c r="E5" i="6"/>
  <c r="I7" i="4"/>
  <c r="H8" i="4"/>
  <c r="G4" i="3"/>
  <c r="K4" i="3" s="1"/>
  <c r="E5" i="3"/>
  <c r="H10" i="5"/>
  <c r="I9" i="5"/>
  <c r="H7" i="3"/>
  <c r="I6" i="3"/>
  <c r="E5" i="4" l="1"/>
  <c r="G5" i="4" s="1"/>
  <c r="K5" i="4" s="1"/>
  <c r="E10" i="2"/>
  <c r="G9" i="2"/>
  <c r="K9" i="2" s="1"/>
  <c r="H7" i="6"/>
  <c r="I6" i="6"/>
  <c r="I10" i="1"/>
  <c r="H11" i="1"/>
  <c r="I7" i="3"/>
  <c r="H8" i="3"/>
  <c r="E6" i="3"/>
  <c r="G5" i="3"/>
  <c r="K5" i="3" s="1"/>
  <c r="E7" i="5"/>
  <c r="G6" i="5"/>
  <c r="K6" i="5" s="1"/>
  <c r="I8" i="4"/>
  <c r="H9" i="4"/>
  <c r="G6" i="1"/>
  <c r="K6" i="1" s="1"/>
  <c r="E7" i="1"/>
  <c r="I10" i="5"/>
  <c r="H11" i="5"/>
  <c r="G5" i="6"/>
  <c r="K5" i="6" s="1"/>
  <c r="E6" i="6"/>
  <c r="E6" i="4" l="1"/>
  <c r="E7" i="4" s="1"/>
  <c r="E8" i="4" s="1"/>
  <c r="G8" i="4" s="1"/>
  <c r="K8" i="4" s="1"/>
  <c r="I7" i="6"/>
  <c r="H8" i="6"/>
  <c r="E11" i="2"/>
  <c r="G10" i="2"/>
  <c r="K10" i="2" s="1"/>
  <c r="G6" i="6"/>
  <c r="K6" i="6" s="1"/>
  <c r="E7" i="6"/>
  <c r="G6" i="3"/>
  <c r="K6" i="3" s="1"/>
  <c r="E7" i="3"/>
  <c r="H12" i="5"/>
  <c r="I11" i="5"/>
  <c r="I8" i="3"/>
  <c r="H9" i="3"/>
  <c r="E8" i="1"/>
  <c r="G7" i="1"/>
  <c r="K7" i="1" s="1"/>
  <c r="H12" i="1"/>
  <c r="I11" i="1"/>
  <c r="H10" i="4"/>
  <c r="I9" i="4"/>
  <c r="E8" i="5"/>
  <c r="G7" i="5"/>
  <c r="K7" i="5" s="1"/>
  <c r="G6" i="4" l="1"/>
  <c r="K6" i="4" s="1"/>
  <c r="E9" i="4"/>
  <c r="E10" i="4" s="1"/>
  <c r="G7" i="4"/>
  <c r="K7" i="4" s="1"/>
  <c r="E12" i="2"/>
  <c r="G11" i="2"/>
  <c r="K11" i="2" s="1"/>
  <c r="H9" i="6"/>
  <c r="I8" i="6"/>
  <c r="G7" i="3"/>
  <c r="K7" i="3" s="1"/>
  <c r="E8" i="3"/>
  <c r="G8" i="5"/>
  <c r="K8" i="5" s="1"/>
  <c r="E9" i="5"/>
  <c r="I10" i="4"/>
  <c r="H11" i="4"/>
  <c r="I12" i="1"/>
  <c r="H13" i="1"/>
  <c r="I13" i="1" s="1"/>
  <c r="E8" i="6"/>
  <c r="G7" i="6"/>
  <c r="K7" i="6" s="1"/>
  <c r="I12" i="5"/>
  <c r="H13" i="5"/>
  <c r="I13" i="5" s="1"/>
  <c r="E9" i="1"/>
  <c r="G8" i="1"/>
  <c r="K8" i="1" s="1"/>
  <c r="I9" i="3"/>
  <c r="H10" i="3"/>
  <c r="G9" i="4" l="1"/>
  <c r="K9" i="4" s="1"/>
  <c r="H10" i="6"/>
  <c r="I9" i="6"/>
  <c r="G12" i="2"/>
  <c r="K12" i="2" s="1"/>
  <c r="E13" i="2"/>
  <c r="E9" i="6"/>
  <c r="G8" i="6"/>
  <c r="K8" i="6" s="1"/>
  <c r="I10" i="3"/>
  <c r="H11" i="3"/>
  <c r="E11" i="4"/>
  <c r="G10" i="4"/>
  <c r="K10" i="4" s="1"/>
  <c r="I11" i="4"/>
  <c r="H12" i="4"/>
  <c r="G9" i="5"/>
  <c r="K9" i="5" s="1"/>
  <c r="E10" i="5"/>
  <c r="G9" i="1"/>
  <c r="K9" i="1" s="1"/>
  <c r="E10" i="1"/>
  <c r="E9" i="3"/>
  <c r="G8" i="3"/>
  <c r="K8" i="3" s="1"/>
  <c r="H11" i="6" l="1"/>
  <c r="I10" i="6"/>
  <c r="E14" i="2"/>
  <c r="G13" i="2"/>
  <c r="K13" i="2" s="1"/>
  <c r="E11" i="1"/>
  <c r="G10" i="1"/>
  <c r="K10" i="1" s="1"/>
  <c r="H12" i="3"/>
  <c r="I11" i="3"/>
  <c r="G9" i="6"/>
  <c r="K9" i="6" s="1"/>
  <c r="E10" i="6"/>
  <c r="H13" i="4"/>
  <c r="I13" i="4" s="1"/>
  <c r="I12" i="4"/>
  <c r="G11" i="4"/>
  <c r="K11" i="4" s="1"/>
  <c r="E12" i="4"/>
  <c r="G9" i="3"/>
  <c r="K9" i="3" s="1"/>
  <c r="E10" i="3"/>
  <c r="G10" i="5"/>
  <c r="K10" i="5" s="1"/>
  <c r="E11" i="5"/>
  <c r="I11" i="6" l="1"/>
  <c r="H12" i="6"/>
  <c r="E15" i="2"/>
  <c r="G14" i="2"/>
  <c r="K14" i="2" s="1"/>
  <c r="E11" i="3"/>
  <c r="G10" i="3"/>
  <c r="K10" i="3" s="1"/>
  <c r="E13" i="4"/>
  <c r="G12" i="4"/>
  <c r="K12" i="4" s="1"/>
  <c r="G10" i="6"/>
  <c r="K10" i="6" s="1"/>
  <c r="E11" i="6"/>
  <c r="G11" i="5"/>
  <c r="K11" i="5" s="1"/>
  <c r="E12" i="5"/>
  <c r="I12" i="3"/>
  <c r="H13" i="3"/>
  <c r="I13" i="3" s="1"/>
  <c r="E12" i="1"/>
  <c r="G11" i="1"/>
  <c r="K11" i="1" s="1"/>
  <c r="E16" i="2" l="1"/>
  <c r="G15" i="2"/>
  <c r="K15" i="2" s="1"/>
  <c r="I12" i="6"/>
  <c r="H13" i="6"/>
  <c r="I13" i="6" s="1"/>
  <c r="G12" i="1"/>
  <c r="K12" i="1" s="1"/>
  <c r="E13" i="1"/>
  <c r="G11" i="3"/>
  <c r="K11" i="3" s="1"/>
  <c r="E12" i="3"/>
  <c r="G12" i="5"/>
  <c r="K12" i="5" s="1"/>
  <c r="E13" i="5"/>
  <c r="E12" i="6"/>
  <c r="G11" i="6"/>
  <c r="K11" i="6" s="1"/>
  <c r="E14" i="4"/>
  <c r="G13" i="4"/>
  <c r="K13" i="4" s="1"/>
  <c r="G16" i="2" l="1"/>
  <c r="K16" i="2" s="1"/>
  <c r="E17" i="2"/>
  <c r="G13" i="1"/>
  <c r="K13" i="1" s="1"/>
  <c r="E14" i="1"/>
  <c r="E13" i="3"/>
  <c r="G12" i="3"/>
  <c r="K12" i="3" s="1"/>
  <c r="E15" i="4"/>
  <c r="G14" i="4"/>
  <c r="J13" i="4" s="1"/>
  <c r="L13" i="4" s="1"/>
  <c r="L14" i="4" s="1"/>
  <c r="E13" i="6"/>
  <c r="G12" i="6"/>
  <c r="K12" i="6" s="1"/>
  <c r="E14" i="5"/>
  <c r="G13" i="5"/>
  <c r="K13" i="5" s="1"/>
  <c r="E18" i="2" l="1"/>
  <c r="G17" i="2"/>
  <c r="J16" i="2" s="1"/>
  <c r="L16" i="2" s="1"/>
  <c r="L17" i="2" s="1"/>
  <c r="Q5" i="2" s="1"/>
  <c r="G14" i="5"/>
  <c r="J13" i="5" s="1"/>
  <c r="L13" i="5" s="1"/>
  <c r="L14" i="5" s="1"/>
  <c r="E15" i="5"/>
  <c r="E14" i="6"/>
  <c r="G13" i="6"/>
  <c r="K13" i="6" s="1"/>
  <c r="E16" i="4"/>
  <c r="G15" i="4"/>
  <c r="E14" i="3"/>
  <c r="G13" i="3"/>
  <c r="K13" i="3" s="1"/>
  <c r="E15" i="1"/>
  <c r="G14" i="1"/>
  <c r="J13" i="1" s="1"/>
  <c r="L13" i="1" s="1"/>
  <c r="L14" i="1" s="1"/>
  <c r="G18" i="2" l="1"/>
  <c r="E19" i="2"/>
  <c r="E16" i="1"/>
  <c r="G15" i="1"/>
  <c r="G14" i="6"/>
  <c r="J13" i="6" s="1"/>
  <c r="L13" i="6" s="1"/>
  <c r="L14" i="6" s="1"/>
  <c r="E15" i="6"/>
  <c r="G15" i="5"/>
  <c r="E16" i="5"/>
  <c r="G14" i="3"/>
  <c r="J13" i="3" s="1"/>
  <c r="L13" i="3" s="1"/>
  <c r="L14" i="3" s="1"/>
  <c r="E15" i="3"/>
  <c r="E17" i="4"/>
  <c r="G16" i="4"/>
  <c r="G19" i="2" l="1"/>
  <c r="E20" i="2"/>
  <c r="E17" i="1"/>
  <c r="G16" i="1"/>
  <c r="E16" i="6"/>
  <c r="G15" i="6"/>
  <c r="G15" i="3"/>
  <c r="E16" i="3"/>
  <c r="G17" i="4"/>
  <c r="E18" i="4"/>
  <c r="E17" i="5"/>
  <c r="G16" i="5"/>
  <c r="G20" i="2" l="1"/>
  <c r="E21" i="2"/>
  <c r="E17" i="6"/>
  <c r="G16" i="6"/>
  <c r="G17" i="1"/>
  <c r="E18" i="1"/>
  <c r="E18" i="5"/>
  <c r="G17" i="5"/>
  <c r="G18" i="4"/>
  <c r="E19" i="4"/>
  <c r="G16" i="3"/>
  <c r="E17" i="3"/>
  <c r="E22" i="2" l="1"/>
  <c r="G21" i="2"/>
  <c r="G17" i="3"/>
  <c r="E18" i="3"/>
  <c r="E19" i="1"/>
  <c r="G18" i="1"/>
  <c r="G19" i="4"/>
  <c r="E20" i="4"/>
  <c r="G18" i="5"/>
  <c r="E19" i="5"/>
  <c r="G17" i="6"/>
  <c r="E18" i="6"/>
  <c r="E23" i="2" l="1"/>
  <c r="G22" i="2"/>
  <c r="G19" i="5"/>
  <c r="E20" i="5"/>
  <c r="E20" i="1"/>
  <c r="G19" i="1"/>
  <c r="G18" i="3"/>
  <c r="E19" i="3"/>
  <c r="G18" i="6"/>
  <c r="E19" i="6"/>
  <c r="G20" i="4"/>
  <c r="E21" i="4"/>
  <c r="E24" i="2" l="1"/>
  <c r="G23" i="2"/>
  <c r="G21" i="4"/>
  <c r="E22" i="4"/>
  <c r="E20" i="6"/>
  <c r="G19" i="6"/>
  <c r="E20" i="3"/>
  <c r="G19" i="3"/>
  <c r="E21" i="1"/>
  <c r="G20" i="1"/>
  <c r="G20" i="5"/>
  <c r="E21" i="5"/>
  <c r="G24" i="2" l="1"/>
  <c r="E25" i="2"/>
  <c r="E23" i="4"/>
  <c r="G22" i="4"/>
  <c r="E22" i="5"/>
  <c r="G21" i="5"/>
  <c r="G21" i="1"/>
  <c r="E22" i="1"/>
  <c r="G20" i="3"/>
  <c r="E21" i="3"/>
  <c r="E21" i="6"/>
  <c r="G20" i="6"/>
  <c r="G25" i="2" l="1"/>
  <c r="E26" i="2"/>
  <c r="G23" i="4"/>
  <c r="E24" i="4"/>
  <c r="E23" i="5"/>
  <c r="G22" i="5"/>
  <c r="G21" i="6"/>
  <c r="E22" i="6"/>
  <c r="E22" i="3"/>
  <c r="G21" i="3"/>
  <c r="G22" i="1"/>
  <c r="E23" i="1"/>
  <c r="E27" i="2" l="1"/>
  <c r="G26" i="2"/>
  <c r="E25" i="4"/>
  <c r="G24" i="4"/>
  <c r="E24" i="1"/>
  <c r="G23" i="1"/>
  <c r="E23" i="3"/>
  <c r="G22" i="3"/>
  <c r="G22" i="6"/>
  <c r="E23" i="6"/>
  <c r="G23" i="5"/>
  <c r="E24" i="5"/>
  <c r="E28" i="2" l="1"/>
  <c r="G27" i="2"/>
  <c r="E25" i="5"/>
  <c r="G24" i="5"/>
  <c r="G25" i="4"/>
  <c r="E26" i="4"/>
  <c r="E24" i="6"/>
  <c r="G23" i="6"/>
  <c r="E24" i="3"/>
  <c r="G23" i="3"/>
  <c r="E25" i="1"/>
  <c r="G24" i="1"/>
  <c r="E29" i="2" l="1"/>
  <c r="G28" i="2"/>
  <c r="G25" i="5"/>
  <c r="E26" i="5"/>
  <c r="G25" i="1"/>
  <c r="E26" i="1"/>
  <c r="E25" i="3"/>
  <c r="G24" i="3"/>
  <c r="E25" i="6"/>
  <c r="G24" i="6"/>
  <c r="G26" i="4"/>
  <c r="E27" i="4"/>
  <c r="G27" i="4" s="1"/>
  <c r="G29" i="2" l="1"/>
  <c r="E30" i="2"/>
  <c r="G30" i="2" s="1"/>
  <c r="G25" i="3"/>
  <c r="E26" i="3"/>
  <c r="G26" i="5"/>
  <c r="E27" i="5"/>
  <c r="G27" i="5" s="1"/>
  <c r="E26" i="6"/>
  <c r="G25" i="6"/>
  <c r="G26" i="1"/>
  <c r="E27" i="1"/>
  <c r="G27" i="1" s="1"/>
  <c r="G26" i="6" l="1"/>
  <c r="E27" i="6"/>
  <c r="G27" i="6" s="1"/>
  <c r="G26" i="3"/>
  <c r="E27" i="3"/>
  <c r="G27" i="3" s="1"/>
</calcChain>
</file>

<file path=xl/sharedStrings.xml><?xml version="1.0" encoding="utf-8"?>
<sst xmlns="http://schemas.openxmlformats.org/spreadsheetml/2006/main" count="86" uniqueCount="16">
  <si>
    <t>Year</t>
  </si>
  <si>
    <t>g</t>
  </si>
  <si>
    <t>EPS</t>
  </si>
  <si>
    <t>Beta</t>
  </si>
  <si>
    <t>r</t>
  </si>
  <si>
    <t>Payout Ratio</t>
  </si>
  <si>
    <t>Dividend</t>
  </si>
  <si>
    <t>Terminal Value</t>
  </si>
  <si>
    <t>PV of Dividend</t>
  </si>
  <si>
    <t>PV of TV</t>
  </si>
  <si>
    <t>High Growth</t>
  </si>
  <si>
    <t>Transition</t>
  </si>
  <si>
    <t>Stable</t>
  </si>
  <si>
    <t>Price=</t>
  </si>
  <si>
    <t>If we do not know the growth rate of the firm during the high growth-phase for sure, but know that it could be a growth rate between 30% to 40%. We can introduce this uncertainty in the following model to see how the price is reacting to uncertain firm growth. Press F9 and you will see a different price every time.</t>
  </si>
  <si>
    <t>100 Simulation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</si>
</sst>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mbria"/>
      <family val="1"/>
      <scheme val="major"/>
    </font>
    <font>
      <sz val="8"/>
      <color rgb="FF000000"/>
      <name val="Tahoma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Fill="1" applyBorder="1"/>
    <xf numFmtId="0" fontId="0" fillId="0" borderId="5" xfId="0" applyBorder="1" applyAlignment="1">
      <alignment horizontal="center" vertical="center"/>
    </xf>
    <xf numFmtId="0" fontId="0" fillId="3" borderId="0" xfId="0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10" fontId="0" fillId="0" borderId="0" xfId="1" applyNumberFormat="1" applyFont="1" applyBorder="1" applyAlignment="1">
      <alignment horizontal="center" vertical="center"/>
    </xf>
    <xf numFmtId="10" fontId="0" fillId="0" borderId="2" xfId="1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9" fontId="0" fillId="0" borderId="1" xfId="1" applyFont="1" applyFill="1" applyBorder="1" applyAlignment="1">
      <alignment vertical="center"/>
    </xf>
    <xf numFmtId="9" fontId="0" fillId="0" borderId="0" xfId="1" applyFont="1" applyFill="1" applyBorder="1" applyAlignment="1">
      <alignment vertical="center"/>
    </xf>
    <xf numFmtId="9" fontId="0" fillId="0" borderId="2" xfId="1" applyFont="1" applyFill="1" applyBorder="1" applyAlignment="1">
      <alignment vertical="center"/>
    </xf>
    <xf numFmtId="9" fontId="0" fillId="0" borderId="0" xfId="1" applyFont="1" applyFill="1" applyAlignment="1">
      <alignment vertical="center"/>
    </xf>
    <xf numFmtId="0" fontId="0" fillId="6" borderId="0" xfId="0" applyFill="1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0" fillId="2" borderId="7" xfId="0" applyFill="1" applyBorder="1" applyAlignment="1">
      <alignment horizontal="center"/>
    </xf>
    <xf numFmtId="0" fontId="5" fillId="7" borderId="8" xfId="0" applyFont="1" applyFill="1" applyBorder="1"/>
  </cellXfs>
  <cellStyles count="2">
    <cellStyle name="Normal" xfId="0" builtinId="0"/>
    <cellStyle name="Percent" xfId="1" builtinId="5"/>
  </cellStyles>
  <dxfs count="2">
    <dxf>
      <font>
        <color rgb="FFFFFFFF"/>
      </font>
      <fill>
        <patternFill>
          <bgColor rgb="FF0000FF"/>
        </patternFill>
      </fill>
    </dxf>
    <dxf>
      <font>
        <color rgb="FFFFFFFF"/>
      </font>
      <fill>
        <patternFill>
          <bgColor rgb="FFDC143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'With-Uncertainty'!$S$8:$S$15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cat>
          <c:val>
            <c:numRef>
              <c:f>'With-Uncertainty'!$U$8:$U$15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0.01</c:v>
                </c:pt>
                <c:pt idx="3">
                  <c:v>0.27</c:v>
                </c:pt>
                <c:pt idx="4">
                  <c:v>0.56999999999999995</c:v>
                </c:pt>
                <c:pt idx="5">
                  <c:v>0.88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9328512"/>
        <c:axId val="329330048"/>
      </c:lineChart>
      <c:catAx>
        <c:axId val="329328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9330048"/>
        <c:crosses val="autoZero"/>
        <c:auto val="1"/>
        <c:lblAlgn val="ctr"/>
        <c:lblOffset val="100"/>
        <c:noMultiLvlLbl val="0"/>
      </c:catAx>
      <c:valAx>
        <c:axId val="329330048"/>
        <c:scaling>
          <c:orientation val="minMax"/>
          <c:max val="1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93285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trlProps/ctrlProp1.xml><?xml version="1.0" encoding="utf-8"?>
<formControlPr xmlns="http://schemas.microsoft.com/office/spreadsheetml/2009/9/main" objectType="Spin" dx="20" fmlaLink="$M$10" max="50" min="25" page="10" val="33"/>
</file>

<file path=xl/ctrlProps/ctrlProp2.xml><?xml version="1.0" encoding="utf-8"?>
<formControlPr xmlns="http://schemas.microsoft.com/office/spreadsheetml/2009/9/main" objectType="Radio" firstButton="1" fmlaLink="$R$13" lockText="1"/>
</file>

<file path=xl/ctrlProps/ctrlProp3.xml><?xml version="1.0" encoding="utf-8"?>
<formControlPr xmlns="http://schemas.microsoft.com/office/spreadsheetml/2009/9/main" objectType="Radio" lockText="1"/>
</file>

<file path=xl/ctrlProps/ctrlProp4.xml><?xml version="1.0" encoding="utf-8"?>
<formControlPr xmlns="http://schemas.microsoft.com/office/spreadsheetml/2009/9/main" objectType="Radio" lockText="1"/>
</file>

<file path=xl/ctrlProps/ctrlProp5.xml><?xml version="1.0" encoding="utf-8"?>
<formControlPr xmlns="http://schemas.microsoft.com/office/spreadsheetml/2009/9/main" objectType="Radio" checked="Checked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457200</xdr:colOff>
      <xdr:row>4</xdr:row>
      <xdr:rowOff>247650</xdr:rowOff>
    </xdr:from>
    <xdr:to>
      <xdr:col>25</xdr:col>
      <xdr:colOff>426720</xdr:colOff>
      <xdr:row>19</xdr:row>
      <xdr:rowOff>24765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142875</xdr:colOff>
          <xdr:row>8</xdr:row>
          <xdr:rowOff>9525</xdr:rowOff>
        </xdr:from>
        <xdr:to>
          <xdr:col>11</xdr:col>
          <xdr:colOff>704850</xdr:colOff>
          <xdr:row>11</xdr:row>
          <xdr:rowOff>9525</xdr:rowOff>
        </xdr:to>
        <xdr:sp macro="" textlink="">
          <xdr:nvSpPr>
            <xdr:cNvPr id="5121" name="Spinner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257175</xdr:colOff>
          <xdr:row>13</xdr:row>
          <xdr:rowOff>114300</xdr:rowOff>
        </xdr:from>
        <xdr:to>
          <xdr:col>14</xdr:col>
          <xdr:colOff>590550</xdr:colOff>
          <xdr:row>14</xdr:row>
          <xdr:rowOff>133350</xdr:rowOff>
        </xdr:to>
        <xdr:sp macro="" textlink="">
          <xdr:nvSpPr>
            <xdr:cNvPr id="4099" name="Option Button 3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Best Case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28575</xdr:colOff>
          <xdr:row>13</xdr:row>
          <xdr:rowOff>123825</xdr:rowOff>
        </xdr:from>
        <xdr:to>
          <xdr:col>16</xdr:col>
          <xdr:colOff>361950</xdr:colOff>
          <xdr:row>14</xdr:row>
          <xdr:rowOff>142875</xdr:rowOff>
        </xdr:to>
        <xdr:sp macro="" textlink="">
          <xdr:nvSpPr>
            <xdr:cNvPr id="4100" name="Option Button 4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Normal Case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438150</xdr:colOff>
          <xdr:row>13</xdr:row>
          <xdr:rowOff>114300</xdr:rowOff>
        </xdr:from>
        <xdr:to>
          <xdr:col>18</xdr:col>
          <xdr:colOff>161925</xdr:colOff>
          <xdr:row>14</xdr:row>
          <xdr:rowOff>133350</xdr:rowOff>
        </xdr:to>
        <xdr:sp macro="" textlink="">
          <xdr:nvSpPr>
            <xdr:cNvPr id="4101" name="Option Button 5" hidden="1">
              <a:extLst>
                <a:ext uri="{63B3BB69-23CF-44E3-9099-C40C66FF867C}">
                  <a14:compatExt spid="_x0000_s41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Worse Case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428625</xdr:colOff>
          <xdr:row>13</xdr:row>
          <xdr:rowOff>133350</xdr:rowOff>
        </xdr:from>
        <xdr:to>
          <xdr:col>20</xdr:col>
          <xdr:colOff>57150</xdr:colOff>
          <xdr:row>14</xdr:row>
          <xdr:rowOff>161925</xdr:rowOff>
        </xdr:to>
        <xdr:sp macro="" textlink="">
          <xdr:nvSpPr>
            <xdr:cNvPr id="4103" name="Option Button 7" hidden="1">
              <a:extLst>
                <a:ext uri="{63B3BB69-23CF-44E3-9099-C40C66FF867C}">
                  <a14:compatExt spid="_x0000_s41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Crisis Scenario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5.xml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9"/>
  <sheetViews>
    <sheetView workbookViewId="0">
      <selection activeCell="F33" sqref="F33"/>
    </sheetView>
  </sheetViews>
  <sheetFormatPr defaultRowHeight="15" x14ac:dyDescent="0.25"/>
  <cols>
    <col min="2" max="2" width="11.140625" style="1" customWidth="1"/>
    <col min="3" max="5" width="9.140625" style="1"/>
    <col min="6" max="6" width="11.28515625" style="1" bestFit="1" customWidth="1"/>
    <col min="7" max="7" width="9.140625" style="3"/>
    <col min="8" max="8" width="9.140625" style="1"/>
    <col min="9" max="9" width="6" style="4" bestFit="1" customWidth="1"/>
    <col min="10" max="10" width="9.7109375" customWidth="1"/>
    <col min="11" max="11" width="9.140625" style="1" customWidth="1"/>
    <col min="12" max="12" width="10.7109375" style="1" customWidth="1"/>
  </cols>
  <sheetData>
    <row r="1" spans="2:12" thickBot="1" x14ac:dyDescent="0.35">
      <c r="B1" s="28"/>
      <c r="C1" s="28"/>
      <c r="D1" s="28"/>
      <c r="E1" s="28"/>
      <c r="F1" s="28"/>
      <c r="G1" s="29"/>
      <c r="H1" s="28"/>
      <c r="I1" s="30"/>
      <c r="J1" s="27"/>
      <c r="K1" s="28"/>
      <c r="L1" s="28"/>
    </row>
    <row r="2" spans="2:12" ht="30" thickTop="1" thickBot="1" x14ac:dyDescent="0.35">
      <c r="B2" s="31"/>
      <c r="C2" s="26" t="s">
        <v>0</v>
      </c>
      <c r="D2" s="26" t="s">
        <v>1</v>
      </c>
      <c r="E2" s="26" t="s">
        <v>2</v>
      </c>
      <c r="F2" s="26" t="s">
        <v>5</v>
      </c>
      <c r="G2" s="26" t="s">
        <v>6</v>
      </c>
      <c r="H2" s="26" t="s">
        <v>3</v>
      </c>
      <c r="I2" s="26" t="s">
        <v>4</v>
      </c>
      <c r="J2" s="26" t="s">
        <v>7</v>
      </c>
      <c r="K2" s="26" t="s">
        <v>8</v>
      </c>
      <c r="L2" s="26" t="s">
        <v>9</v>
      </c>
    </row>
    <row r="3" spans="2:12" thickTop="1" x14ac:dyDescent="0.3">
      <c r="B3" s="7"/>
      <c r="C3" s="7">
        <v>0</v>
      </c>
      <c r="D3" s="7">
        <v>0.36</v>
      </c>
      <c r="E3" s="7">
        <v>1.5</v>
      </c>
      <c r="F3" s="7"/>
      <c r="G3" s="8"/>
      <c r="H3" s="7">
        <v>1.6</v>
      </c>
      <c r="I3" s="9"/>
      <c r="J3" s="10"/>
      <c r="K3" s="7"/>
      <c r="L3" s="7"/>
    </row>
    <row r="4" spans="2:12" x14ac:dyDescent="0.25">
      <c r="B4" s="46" t="s">
        <v>10</v>
      </c>
      <c r="C4" s="12">
        <v>1</v>
      </c>
      <c r="D4" s="11">
        <f>D3</f>
        <v>0.36</v>
      </c>
      <c r="E4" s="11">
        <f>E3*(1+D4)</f>
        <v>2.04</v>
      </c>
      <c r="F4" s="11">
        <v>0.12</v>
      </c>
      <c r="G4" s="12">
        <f>E4*F4</f>
        <v>0.24479999999999999</v>
      </c>
      <c r="H4" s="11">
        <f>H3</f>
        <v>1.6</v>
      </c>
      <c r="I4" s="13">
        <f>0.05+H4*0.06</f>
        <v>0.14600000000000002</v>
      </c>
      <c r="J4" s="14"/>
      <c r="K4" s="11">
        <f>G4/(1+I4)^C4</f>
        <v>0.21361256544502619</v>
      </c>
      <c r="L4" s="7"/>
    </row>
    <row r="5" spans="2:12" x14ac:dyDescent="0.25">
      <c r="B5" s="47"/>
      <c r="C5" s="16">
        <v>2</v>
      </c>
      <c r="D5" s="15">
        <f t="shared" ref="D5:D8" si="0">D4</f>
        <v>0.36</v>
      </c>
      <c r="E5" s="15">
        <f t="shared" ref="E5:E27" si="1">E4*(1+D5)</f>
        <v>2.7744</v>
      </c>
      <c r="F5" s="15">
        <v>0.12</v>
      </c>
      <c r="G5" s="16">
        <f t="shared" ref="G5:G27" si="2">E5*F5</f>
        <v>0.332928</v>
      </c>
      <c r="H5" s="15">
        <f t="shared" ref="H5:H8" si="3">H4</f>
        <v>1.6</v>
      </c>
      <c r="I5" s="17">
        <f t="shared" ref="I5:I27" si="4">0.05+H5*0.06</f>
        <v>0.14600000000000002</v>
      </c>
      <c r="J5" s="18"/>
      <c r="K5" s="15">
        <f t="shared" ref="K5:K8" si="5">G5/(1+I5)^C5</f>
        <v>0.25350182286669781</v>
      </c>
      <c r="L5" s="7"/>
    </row>
    <row r="6" spans="2:12" x14ac:dyDescent="0.25">
      <c r="B6" s="47"/>
      <c r="C6" s="16">
        <v>3</v>
      </c>
      <c r="D6" s="15">
        <f t="shared" si="0"/>
        <v>0.36</v>
      </c>
      <c r="E6" s="15">
        <f t="shared" si="1"/>
        <v>3.7731839999999996</v>
      </c>
      <c r="F6" s="15">
        <v>0.12</v>
      </c>
      <c r="G6" s="16">
        <f t="shared" si="2"/>
        <v>0.45278207999999992</v>
      </c>
      <c r="H6" s="15">
        <f t="shared" si="3"/>
        <v>1.6</v>
      </c>
      <c r="I6" s="17">
        <f t="shared" si="4"/>
        <v>0.14600000000000002</v>
      </c>
      <c r="J6" s="18"/>
      <c r="K6" s="15">
        <f t="shared" si="5"/>
        <v>0.30083985959747728</v>
      </c>
      <c r="L6" s="7"/>
    </row>
    <row r="7" spans="2:12" x14ac:dyDescent="0.25">
      <c r="B7" s="47"/>
      <c r="C7" s="16">
        <v>4</v>
      </c>
      <c r="D7" s="15">
        <f t="shared" si="0"/>
        <v>0.36</v>
      </c>
      <c r="E7" s="15">
        <f t="shared" si="1"/>
        <v>5.1315302399999991</v>
      </c>
      <c r="F7" s="15">
        <v>0.12</v>
      </c>
      <c r="G7" s="16">
        <f t="shared" si="2"/>
        <v>0.61578362879999993</v>
      </c>
      <c r="H7" s="15">
        <f t="shared" si="3"/>
        <v>1.6</v>
      </c>
      <c r="I7" s="17">
        <f t="shared" si="4"/>
        <v>0.14600000000000002</v>
      </c>
      <c r="J7" s="18"/>
      <c r="K7" s="15">
        <f t="shared" si="5"/>
        <v>0.35701763442632561</v>
      </c>
      <c r="L7" s="7"/>
    </row>
    <row r="8" spans="2:12" x14ac:dyDescent="0.25">
      <c r="B8" s="48"/>
      <c r="C8" s="20">
        <v>5</v>
      </c>
      <c r="D8" s="15">
        <f t="shared" si="0"/>
        <v>0.36</v>
      </c>
      <c r="E8" s="19">
        <f t="shared" si="1"/>
        <v>6.9788811263999984</v>
      </c>
      <c r="F8" s="19">
        <v>0.12</v>
      </c>
      <c r="G8" s="20">
        <f t="shared" si="2"/>
        <v>0.83746573516799983</v>
      </c>
      <c r="H8" s="15">
        <f t="shared" si="3"/>
        <v>1.6</v>
      </c>
      <c r="I8" s="21">
        <f t="shared" si="4"/>
        <v>0.14600000000000002</v>
      </c>
      <c r="J8" s="22"/>
      <c r="K8" s="19">
        <f t="shared" si="5"/>
        <v>0.42368584888289951</v>
      </c>
      <c r="L8" s="7"/>
    </row>
    <row r="9" spans="2:12" x14ac:dyDescent="0.25">
      <c r="B9" s="49" t="s">
        <v>11</v>
      </c>
      <c r="C9" s="12">
        <v>6</v>
      </c>
      <c r="D9" s="11">
        <f>D8-(0.36-0.06)/6</f>
        <v>0.31</v>
      </c>
      <c r="E9" s="11">
        <f t="shared" si="1"/>
        <v>9.1423342755839982</v>
      </c>
      <c r="F9" s="11">
        <f>F8+(0.6-0.12)/6</f>
        <v>0.2</v>
      </c>
      <c r="G9" s="12">
        <f t="shared" si="2"/>
        <v>1.8284668551167997</v>
      </c>
      <c r="H9" s="11">
        <f>H8-(1.6-1)/6</f>
        <v>1.5</v>
      </c>
      <c r="I9" s="13">
        <f t="shared" si="4"/>
        <v>0.14000000000000001</v>
      </c>
      <c r="J9" s="14"/>
      <c r="K9" s="11">
        <f>G9/((1+0.146)^5*(1+0.14))</f>
        <v>0.81144511993654722</v>
      </c>
      <c r="L9" s="7"/>
    </row>
    <row r="10" spans="2:12" x14ac:dyDescent="0.25">
      <c r="B10" s="50"/>
      <c r="C10" s="16">
        <v>7</v>
      </c>
      <c r="D10" s="15">
        <f t="shared" ref="D10:D13" si="6">D9-(0.36-0.06)/6</f>
        <v>0.26</v>
      </c>
      <c r="E10" s="15">
        <f t="shared" si="1"/>
        <v>11.519341187235838</v>
      </c>
      <c r="F10" s="15">
        <f t="shared" ref="F10:F13" si="7">F9+(0.6-0.12)/6</f>
        <v>0.28000000000000003</v>
      </c>
      <c r="G10" s="16">
        <f t="shared" si="2"/>
        <v>3.2254155324260352</v>
      </c>
      <c r="H10" s="15">
        <f t="shared" ref="H10:H13" si="8">H9-(1.6-1)/6</f>
        <v>1.4</v>
      </c>
      <c r="I10" s="17">
        <f t="shared" si="4"/>
        <v>0.13400000000000001</v>
      </c>
      <c r="J10" s="18"/>
      <c r="K10" s="15">
        <f>G10/((1+0.146)^5*(1+0.14)*(1+0.134))</f>
        <v>1.2622479643457405</v>
      </c>
      <c r="L10" s="7"/>
    </row>
    <row r="11" spans="2:12" x14ac:dyDescent="0.25">
      <c r="B11" s="50"/>
      <c r="C11" s="16">
        <v>8</v>
      </c>
      <c r="D11" s="15">
        <f t="shared" si="6"/>
        <v>0.21000000000000002</v>
      </c>
      <c r="E11" s="15">
        <f t="shared" si="1"/>
        <v>13.938402836555364</v>
      </c>
      <c r="F11" s="15">
        <f t="shared" si="7"/>
        <v>0.36000000000000004</v>
      </c>
      <c r="G11" s="16">
        <f t="shared" si="2"/>
        <v>5.0178250211599318</v>
      </c>
      <c r="H11" s="15">
        <f t="shared" si="8"/>
        <v>1.2999999999999998</v>
      </c>
      <c r="I11" s="17">
        <f t="shared" si="4"/>
        <v>0.128</v>
      </c>
      <c r="J11" s="18"/>
      <c r="K11" s="15">
        <f>G11/((1+0.146)^5*(1+0.14)*(1+0.134)*(1+0.128))</f>
        <v>1.7408663034099685</v>
      </c>
      <c r="L11" s="7"/>
    </row>
    <row r="12" spans="2:12" x14ac:dyDescent="0.25">
      <c r="B12" s="50"/>
      <c r="C12" s="16">
        <v>9</v>
      </c>
      <c r="D12" s="15">
        <f t="shared" si="6"/>
        <v>0.16000000000000003</v>
      </c>
      <c r="E12" s="15">
        <f t="shared" si="1"/>
        <v>16.168547290404224</v>
      </c>
      <c r="F12" s="15">
        <f t="shared" si="7"/>
        <v>0.44000000000000006</v>
      </c>
      <c r="G12" s="16">
        <f t="shared" si="2"/>
        <v>7.1141608077778589</v>
      </c>
      <c r="H12" s="15">
        <f t="shared" si="8"/>
        <v>1.1999999999999997</v>
      </c>
      <c r="I12" s="17">
        <f t="shared" si="4"/>
        <v>0.12199999999999998</v>
      </c>
      <c r="J12" s="18"/>
      <c r="K12" s="15">
        <f>G12/((1+0.146)^5*(1+0.14)*(1+0.134)*(1+0.128)*(1+0.122))</f>
        <v>2.1997874857903743</v>
      </c>
      <c r="L12" s="7"/>
    </row>
    <row r="13" spans="2:12" x14ac:dyDescent="0.25">
      <c r="B13" s="51"/>
      <c r="C13" s="20">
        <v>10</v>
      </c>
      <c r="D13" s="19">
        <f t="shared" si="6"/>
        <v>0.11000000000000004</v>
      </c>
      <c r="E13" s="19">
        <f t="shared" si="1"/>
        <v>17.94708749234869</v>
      </c>
      <c r="F13" s="19">
        <f t="shared" si="7"/>
        <v>0.52</v>
      </c>
      <c r="G13" s="20">
        <f t="shared" si="2"/>
        <v>9.3324854960213184</v>
      </c>
      <c r="H13" s="19">
        <f t="shared" si="8"/>
        <v>1.0999999999999996</v>
      </c>
      <c r="I13" s="21">
        <f t="shared" si="4"/>
        <v>0.11599999999999998</v>
      </c>
      <c r="J13" s="22">
        <f>G14/(0.11-0.06)</f>
        <v>228.28695290267532</v>
      </c>
      <c r="K13" s="15">
        <f>G13/((1+0.146)^5*(1+0.14)*(1+0.134)*(1+0.128)*(1+0.122)*(1+0.116))</f>
        <v>2.5857717025053026</v>
      </c>
      <c r="L13" s="7">
        <f>J13/((1+0.146)^5*(1+0.14)*(1+0.134)*(1+0.128)*(1+0.122)*(1+0.116))</f>
        <v>63.251953953591254</v>
      </c>
    </row>
    <row r="14" spans="2:12" x14ac:dyDescent="0.25">
      <c r="B14" s="52" t="s">
        <v>12</v>
      </c>
      <c r="C14" s="7">
        <v>11</v>
      </c>
      <c r="D14" s="7">
        <v>0.06</v>
      </c>
      <c r="E14" s="7">
        <f t="shared" si="1"/>
        <v>19.02391274188961</v>
      </c>
      <c r="F14" s="7">
        <v>0.6</v>
      </c>
      <c r="G14" s="8">
        <f t="shared" si="2"/>
        <v>11.414347645133766</v>
      </c>
      <c r="H14" s="7">
        <v>1</v>
      </c>
      <c r="I14" s="9">
        <f t="shared" si="4"/>
        <v>0.11</v>
      </c>
      <c r="J14" s="10"/>
      <c r="K14" s="23" t="s">
        <v>13</v>
      </c>
      <c r="L14" s="24">
        <f>SUM(K4:K13)+L13</f>
        <v>73.400730260797616</v>
      </c>
    </row>
    <row r="15" spans="2:12" x14ac:dyDescent="0.25">
      <c r="B15" s="53"/>
      <c r="C15" s="7">
        <v>12</v>
      </c>
      <c r="D15" s="7">
        <v>0.06</v>
      </c>
      <c r="E15" s="7">
        <f t="shared" si="1"/>
        <v>20.165347506402988</v>
      </c>
      <c r="F15" s="7">
        <v>0.6</v>
      </c>
      <c r="G15" s="8">
        <f t="shared" si="2"/>
        <v>12.099208503841792</v>
      </c>
      <c r="H15" s="7">
        <v>1</v>
      </c>
      <c r="I15" s="9">
        <f t="shared" si="4"/>
        <v>0.11</v>
      </c>
      <c r="J15" s="10"/>
      <c r="K15" s="7"/>
      <c r="L15" s="7"/>
    </row>
    <row r="16" spans="2:12" ht="14.45" x14ac:dyDescent="0.3">
      <c r="B16" s="2"/>
      <c r="C16" s="7">
        <v>13</v>
      </c>
      <c r="D16" s="7">
        <v>0.06</v>
      </c>
      <c r="E16" s="7">
        <f t="shared" si="1"/>
        <v>21.375268356787167</v>
      </c>
      <c r="F16" s="7">
        <v>0.6</v>
      </c>
      <c r="G16" s="8">
        <f t="shared" si="2"/>
        <v>12.8251610140723</v>
      </c>
      <c r="H16" s="7">
        <v>1</v>
      </c>
      <c r="I16" s="9">
        <f t="shared" si="4"/>
        <v>0.11</v>
      </c>
    </row>
    <row r="17" spans="2:12" ht="14.45" x14ac:dyDescent="0.3">
      <c r="B17" s="2"/>
      <c r="C17" s="7">
        <v>14</v>
      </c>
      <c r="D17" s="7">
        <v>0.06</v>
      </c>
      <c r="E17" s="7">
        <f t="shared" si="1"/>
        <v>22.657784458194399</v>
      </c>
      <c r="F17" s="7">
        <v>0.6</v>
      </c>
      <c r="G17" s="8">
        <f t="shared" si="2"/>
        <v>13.594670674916639</v>
      </c>
      <c r="H17" s="7">
        <v>1</v>
      </c>
      <c r="I17" s="9">
        <f t="shared" si="4"/>
        <v>0.11</v>
      </c>
    </row>
    <row r="18" spans="2:12" ht="14.45" x14ac:dyDescent="0.3">
      <c r="B18" s="2"/>
      <c r="C18" s="7">
        <v>15</v>
      </c>
      <c r="D18" s="7">
        <v>0.06</v>
      </c>
      <c r="E18" s="7">
        <f t="shared" si="1"/>
        <v>24.017251525686063</v>
      </c>
      <c r="F18" s="7">
        <v>0.6</v>
      </c>
      <c r="G18" s="8">
        <f t="shared" si="2"/>
        <v>14.410350915411637</v>
      </c>
      <c r="H18" s="7">
        <v>1</v>
      </c>
      <c r="I18" s="9">
        <f t="shared" si="4"/>
        <v>0.11</v>
      </c>
    </row>
    <row r="19" spans="2:12" ht="14.45" x14ac:dyDescent="0.3">
      <c r="B19" s="2"/>
      <c r="C19" s="7">
        <v>16</v>
      </c>
      <c r="D19" s="7">
        <v>0.06</v>
      </c>
      <c r="E19" s="7">
        <f t="shared" si="1"/>
        <v>25.458286617227227</v>
      </c>
      <c r="F19" s="7">
        <v>0.6</v>
      </c>
      <c r="G19" s="8">
        <f t="shared" si="2"/>
        <v>15.274971970336335</v>
      </c>
      <c r="H19" s="7">
        <v>1</v>
      </c>
      <c r="I19" s="9">
        <f t="shared" si="4"/>
        <v>0.11</v>
      </c>
    </row>
    <row r="20" spans="2:12" ht="14.45" x14ac:dyDescent="0.3">
      <c r="B20" s="2"/>
      <c r="C20" s="7">
        <v>17</v>
      </c>
      <c r="D20" s="7">
        <v>0.06</v>
      </c>
      <c r="E20" s="7">
        <f t="shared" si="1"/>
        <v>26.985783814260863</v>
      </c>
      <c r="F20" s="7">
        <v>0.6</v>
      </c>
      <c r="G20" s="8">
        <f t="shared" si="2"/>
        <v>16.191470288556516</v>
      </c>
      <c r="H20" s="7">
        <v>1</v>
      </c>
      <c r="I20" s="9">
        <f t="shared" si="4"/>
        <v>0.11</v>
      </c>
    </row>
    <row r="21" spans="2:12" ht="14.45" x14ac:dyDescent="0.3">
      <c r="B21" s="2"/>
      <c r="C21" s="7">
        <v>18</v>
      </c>
      <c r="D21" s="7">
        <v>0.06</v>
      </c>
      <c r="E21" s="7">
        <f t="shared" si="1"/>
        <v>28.604930843116517</v>
      </c>
      <c r="F21" s="7">
        <v>0.6</v>
      </c>
      <c r="G21" s="8">
        <f t="shared" si="2"/>
        <v>17.162958505869909</v>
      </c>
      <c r="H21" s="7">
        <v>1</v>
      </c>
      <c r="I21" s="9">
        <f t="shared" si="4"/>
        <v>0.11</v>
      </c>
    </row>
    <row r="22" spans="2:12" ht="14.45" x14ac:dyDescent="0.3">
      <c r="B22" s="2"/>
      <c r="C22" s="7">
        <v>19</v>
      </c>
      <c r="D22" s="7">
        <v>0.06</v>
      </c>
      <c r="E22" s="7">
        <f t="shared" si="1"/>
        <v>30.321226693703508</v>
      </c>
      <c r="F22" s="7">
        <v>0.6</v>
      </c>
      <c r="G22" s="8">
        <f t="shared" si="2"/>
        <v>18.192736016222103</v>
      </c>
      <c r="H22" s="7">
        <v>1</v>
      </c>
      <c r="I22" s="9">
        <f t="shared" si="4"/>
        <v>0.11</v>
      </c>
    </row>
    <row r="23" spans="2:12" ht="14.45" x14ac:dyDescent="0.3">
      <c r="B23" s="2"/>
      <c r="C23" s="7">
        <v>20</v>
      </c>
      <c r="D23" s="7">
        <v>0.06</v>
      </c>
      <c r="E23" s="7">
        <f t="shared" si="1"/>
        <v>32.140500295325722</v>
      </c>
      <c r="F23" s="7">
        <v>0.6</v>
      </c>
      <c r="G23" s="8">
        <f t="shared" si="2"/>
        <v>19.284300177195433</v>
      </c>
      <c r="H23" s="7">
        <v>1</v>
      </c>
      <c r="I23" s="9">
        <f t="shared" si="4"/>
        <v>0.11</v>
      </c>
    </row>
    <row r="24" spans="2:12" ht="14.45" x14ac:dyDescent="0.3">
      <c r="B24" s="2"/>
      <c r="C24" s="7">
        <v>21</v>
      </c>
      <c r="D24" s="7">
        <v>0.06</v>
      </c>
      <c r="E24" s="7">
        <f t="shared" si="1"/>
        <v>34.068930313045264</v>
      </c>
      <c r="F24" s="7">
        <v>0.6</v>
      </c>
      <c r="G24" s="8">
        <f t="shared" si="2"/>
        <v>20.441358187827159</v>
      </c>
      <c r="H24" s="7">
        <v>1</v>
      </c>
      <c r="I24" s="9">
        <f t="shared" si="4"/>
        <v>0.11</v>
      </c>
    </row>
    <row r="25" spans="2:12" ht="14.45" x14ac:dyDescent="0.3">
      <c r="B25" s="2"/>
      <c r="C25" s="7">
        <v>22</v>
      </c>
      <c r="D25" s="7">
        <v>0.06</v>
      </c>
      <c r="E25" s="7">
        <f t="shared" si="1"/>
        <v>36.113066131827985</v>
      </c>
      <c r="F25" s="7">
        <v>0.6</v>
      </c>
      <c r="G25" s="8">
        <f t="shared" si="2"/>
        <v>21.66783967909679</v>
      </c>
      <c r="H25" s="7">
        <v>1</v>
      </c>
      <c r="I25" s="9">
        <f t="shared" si="4"/>
        <v>0.11</v>
      </c>
    </row>
    <row r="26" spans="2:12" ht="14.45" x14ac:dyDescent="0.3">
      <c r="B26" s="2"/>
      <c r="C26" s="7">
        <v>23</v>
      </c>
      <c r="D26" s="7">
        <v>0.06</v>
      </c>
      <c r="E26" s="7">
        <f t="shared" si="1"/>
        <v>38.279850099737665</v>
      </c>
      <c r="F26" s="7">
        <v>0.6</v>
      </c>
      <c r="G26" s="8">
        <f t="shared" si="2"/>
        <v>22.967910059842598</v>
      </c>
      <c r="H26" s="7">
        <v>1</v>
      </c>
      <c r="I26" s="9">
        <f t="shared" si="4"/>
        <v>0.11</v>
      </c>
    </row>
    <row r="27" spans="2:12" ht="14.45" x14ac:dyDescent="0.3">
      <c r="B27" s="32"/>
      <c r="C27" s="15">
        <v>24</v>
      </c>
      <c r="D27" s="15">
        <v>0.06</v>
      </c>
      <c r="E27" s="15">
        <f t="shared" si="1"/>
        <v>40.576641105721926</v>
      </c>
      <c r="F27" s="15">
        <v>0.6</v>
      </c>
      <c r="G27" s="16">
        <f t="shared" si="2"/>
        <v>24.345984663433153</v>
      </c>
      <c r="H27" s="7">
        <v>1</v>
      </c>
      <c r="I27" s="9">
        <f t="shared" si="4"/>
        <v>0.11</v>
      </c>
      <c r="J27" s="5"/>
      <c r="K27" s="6"/>
      <c r="L27" s="6"/>
    </row>
    <row r="28" spans="2:12" thickBot="1" x14ac:dyDescent="0.35">
      <c r="B28" s="28"/>
      <c r="C28" s="28"/>
      <c r="D28" s="28"/>
      <c r="E28" s="28"/>
      <c r="F28" s="28"/>
      <c r="G28" s="29"/>
      <c r="H28" s="28"/>
      <c r="I28" s="30"/>
      <c r="J28" s="27"/>
      <c r="K28" s="28"/>
      <c r="L28" s="28"/>
    </row>
    <row r="29" spans="2:12" thickTop="1" x14ac:dyDescent="0.3"/>
  </sheetData>
  <mergeCells count="3">
    <mergeCell ref="B4:B8"/>
    <mergeCell ref="B9:B13"/>
    <mergeCell ref="B14:B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105"/>
  <sheetViews>
    <sheetView workbookViewId="0">
      <selection activeCell="A27" sqref="A27"/>
    </sheetView>
  </sheetViews>
  <sheetFormatPr defaultRowHeight="15" x14ac:dyDescent="0.25"/>
  <cols>
    <col min="1" max="1" width="7.85546875" customWidth="1"/>
    <col min="2" max="2" width="10.28515625" customWidth="1"/>
    <col min="16" max="17" width="9.140625" style="1"/>
  </cols>
  <sheetData>
    <row r="2" spans="2:21" x14ac:dyDescent="0.25">
      <c r="B2" s="54" t="s">
        <v>14</v>
      </c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2:21" ht="34.5" customHeight="1" x14ac:dyDescent="0.2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</row>
    <row r="4" spans="2:21" thickBot="1" x14ac:dyDescent="0.35"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P4" s="56" t="s">
        <v>15</v>
      </c>
      <c r="Q4" s="56"/>
    </row>
    <row r="5" spans="2:21" ht="30" thickTop="1" thickBot="1" x14ac:dyDescent="0.35">
      <c r="B5" s="25"/>
      <c r="C5" s="26" t="s">
        <v>0</v>
      </c>
      <c r="D5" s="26" t="s">
        <v>1</v>
      </c>
      <c r="E5" s="26" t="s">
        <v>2</v>
      </c>
      <c r="F5" s="26" t="s">
        <v>5</v>
      </c>
      <c r="G5" s="26" t="s">
        <v>6</v>
      </c>
      <c r="H5" s="26" t="s">
        <v>3</v>
      </c>
      <c r="I5" s="26" t="s">
        <v>4</v>
      </c>
      <c r="J5" s="26" t="s">
        <v>7</v>
      </c>
      <c r="K5" s="26" t="s">
        <v>8</v>
      </c>
      <c r="L5" s="26" t="s">
        <v>9</v>
      </c>
      <c r="P5" s="45"/>
      <c r="Q5" s="45">
        <f ca="1">L17</f>
        <v>70.371305807651979</v>
      </c>
    </row>
    <row r="6" spans="2:21" thickTop="1" x14ac:dyDescent="0.3">
      <c r="B6" s="7"/>
      <c r="C6" s="7">
        <v>0</v>
      </c>
      <c r="D6" s="33"/>
      <c r="E6" s="7">
        <v>1.5</v>
      </c>
      <c r="F6" s="7"/>
      <c r="G6" s="8"/>
      <c r="H6" s="7"/>
      <c r="I6" s="9"/>
      <c r="J6" s="10"/>
      <c r="K6" s="7"/>
      <c r="L6" s="7"/>
      <c r="P6" s="45">
        <v>1</v>
      </c>
      <c r="Q6" s="45">
        <f t="dataTable" ref="Q6:Q105" dt2D="0" dtr="0" r1="P2" ca="1"/>
        <v>82.77279938985113</v>
      </c>
    </row>
    <row r="7" spans="2:21" x14ac:dyDescent="0.25">
      <c r="B7" s="46" t="s">
        <v>10</v>
      </c>
      <c r="C7" s="12">
        <v>1</v>
      </c>
      <c r="D7" s="37">
        <f ca="1">0.3+(0.4-0.3)*RAND()</f>
        <v>0.33963293692431806</v>
      </c>
      <c r="E7" s="11">
        <f ca="1">E6*(1+D7)</f>
        <v>2.0094494053864773</v>
      </c>
      <c r="F7" s="40">
        <v>0.12</v>
      </c>
      <c r="G7" s="12">
        <f ca="1">E7*F7</f>
        <v>0.24113392864637728</v>
      </c>
      <c r="H7" s="11">
        <v>1.6</v>
      </c>
      <c r="I7" s="41">
        <f>0.05+H7*0.06</f>
        <v>0.14600000000000002</v>
      </c>
      <c r="J7" s="14"/>
      <c r="K7" s="11">
        <f ca="1">G7/(1+I7)^C7</f>
        <v>0.21041355030224895</v>
      </c>
      <c r="L7" s="7"/>
      <c r="P7" s="45">
        <v>2</v>
      </c>
      <c r="Q7" s="45">
        <v>77.76499985412535</v>
      </c>
    </row>
    <row r="8" spans="2:21" x14ac:dyDescent="0.25">
      <c r="B8" s="47"/>
      <c r="C8" s="16">
        <v>2</v>
      </c>
      <c r="D8" s="37">
        <f t="shared" ref="D8:D11" ca="1" si="0">0.3+(0.4-0.3)*RAND()</f>
        <v>0.35437991701456506</v>
      </c>
      <c r="E8" s="15">
        <f t="shared" ref="E8:E30" ca="1" si="1">E7*(1+D8)</f>
        <v>2.7215579189123038</v>
      </c>
      <c r="F8" s="34">
        <v>0.12</v>
      </c>
      <c r="G8" s="16">
        <f t="shared" ref="G8:G30" ca="1" si="2">E8*F8</f>
        <v>0.32658695026947643</v>
      </c>
      <c r="H8" s="15">
        <v>1.6</v>
      </c>
      <c r="I8" s="42">
        <f t="shared" ref="I8:I30" si="3">0.05+H8*0.06</f>
        <v>0.14600000000000002</v>
      </c>
      <c r="J8" s="18"/>
      <c r="K8" s="15">
        <f t="shared" ref="K8:K11" ca="1" si="4">G8/(1+I8)^C8</f>
        <v>0.24867354868856886</v>
      </c>
      <c r="L8" s="7"/>
      <c r="P8" s="45">
        <v>3</v>
      </c>
      <c r="Q8" s="45">
        <v>81.83076154488387</v>
      </c>
      <c r="S8">
        <v>30</v>
      </c>
      <c r="T8">
        <f>FREQUENCY($Q$6:$Q$105,S8)</f>
        <v>0</v>
      </c>
      <c r="U8">
        <f>T8/100</f>
        <v>0</v>
      </c>
    </row>
    <row r="9" spans="2:21" x14ac:dyDescent="0.25">
      <c r="B9" s="47"/>
      <c r="C9" s="16">
        <v>3</v>
      </c>
      <c r="D9" s="37">
        <f t="shared" ca="1" si="0"/>
        <v>0.39114120473423608</v>
      </c>
      <c r="E9" s="15">
        <f t="shared" ca="1" si="1"/>
        <v>3.7860713620696624</v>
      </c>
      <c r="F9" s="34">
        <v>0.12</v>
      </c>
      <c r="G9" s="16">
        <f t="shared" ca="1" si="2"/>
        <v>0.45432856344835948</v>
      </c>
      <c r="H9" s="15">
        <v>1.6</v>
      </c>
      <c r="I9" s="42">
        <f t="shared" si="3"/>
        <v>0.14600000000000002</v>
      </c>
      <c r="J9" s="18"/>
      <c r="K9" s="15">
        <f t="shared" ca="1" si="4"/>
        <v>0.3018673822933276</v>
      </c>
      <c r="L9" s="7"/>
      <c r="P9" s="45">
        <v>4</v>
      </c>
      <c r="Q9" s="45">
        <v>75.526444834130075</v>
      </c>
      <c r="S9">
        <v>40</v>
      </c>
      <c r="T9">
        <f t="shared" ref="T9:T15" si="5">FREQUENCY($Q$6:$Q$105,S9)</f>
        <v>0</v>
      </c>
      <c r="U9">
        <f t="shared" ref="U9:U15" si="6">T9/100</f>
        <v>0</v>
      </c>
    </row>
    <row r="10" spans="2:21" x14ac:dyDescent="0.25">
      <c r="B10" s="47"/>
      <c r="C10" s="16">
        <v>4</v>
      </c>
      <c r="D10" s="37">
        <f t="shared" ca="1" si="0"/>
        <v>0.33431526880032347</v>
      </c>
      <c r="E10" s="15">
        <f t="shared" ca="1" si="1"/>
        <v>5.051812827177188</v>
      </c>
      <c r="F10" s="34">
        <v>0.12</v>
      </c>
      <c r="G10" s="16">
        <f t="shared" ca="1" si="2"/>
        <v>0.60621753926126254</v>
      </c>
      <c r="H10" s="15">
        <v>1.6</v>
      </c>
      <c r="I10" s="42">
        <f t="shared" si="3"/>
        <v>0.14600000000000002</v>
      </c>
      <c r="J10" s="18"/>
      <c r="K10" s="15">
        <f t="shared" ca="1" si="4"/>
        <v>0.35147142874936421</v>
      </c>
      <c r="L10" s="7"/>
      <c r="P10" s="45">
        <v>5</v>
      </c>
      <c r="Q10" s="45">
        <v>67.945529887033828</v>
      </c>
      <c r="S10">
        <v>50</v>
      </c>
      <c r="T10">
        <f t="shared" si="5"/>
        <v>1</v>
      </c>
      <c r="U10">
        <f t="shared" si="6"/>
        <v>0.01</v>
      </c>
    </row>
    <row r="11" spans="2:21" x14ac:dyDescent="0.25">
      <c r="B11" s="48"/>
      <c r="C11" s="20">
        <v>5</v>
      </c>
      <c r="D11" s="38">
        <f t="shared" ca="1" si="0"/>
        <v>0.3542766562961801</v>
      </c>
      <c r="E11" s="19">
        <f t="shared" ca="1" si="1"/>
        <v>6.8415521838236746</v>
      </c>
      <c r="F11" s="35">
        <v>0.12</v>
      </c>
      <c r="G11" s="20">
        <f t="shared" ca="1" si="2"/>
        <v>0.82098626205884095</v>
      </c>
      <c r="H11" s="19">
        <v>1.6</v>
      </c>
      <c r="I11" s="43">
        <f t="shared" si="3"/>
        <v>0.14600000000000002</v>
      </c>
      <c r="J11" s="22"/>
      <c r="K11" s="19">
        <f t="shared" ca="1" si="4"/>
        <v>0.41534864861285353</v>
      </c>
      <c r="L11" s="7"/>
      <c r="P11" s="45">
        <v>6</v>
      </c>
      <c r="Q11" s="45">
        <v>70.179945208253201</v>
      </c>
      <c r="S11">
        <v>60</v>
      </c>
      <c r="T11">
        <f t="shared" si="5"/>
        <v>27</v>
      </c>
      <c r="U11">
        <f t="shared" si="6"/>
        <v>0.27</v>
      </c>
    </row>
    <row r="12" spans="2:21" x14ac:dyDescent="0.25">
      <c r="B12" s="49" t="s">
        <v>11</v>
      </c>
      <c r="C12" s="12">
        <v>6</v>
      </c>
      <c r="D12" s="37">
        <f ca="1">D11-(0.36-0.06)/6</f>
        <v>0.30427665629618011</v>
      </c>
      <c r="E12" s="11">
        <f t="shared" ca="1" si="1"/>
        <v>8.9232768061933712</v>
      </c>
      <c r="F12" s="40">
        <f>F11+(0.6-0.12)/6</f>
        <v>0.2</v>
      </c>
      <c r="G12" s="12">
        <f t="shared" ca="1" si="2"/>
        <v>1.7846553612386744</v>
      </c>
      <c r="H12" s="11">
        <f>H11-(1.6-1)/6</f>
        <v>1.5</v>
      </c>
      <c r="I12" s="41">
        <f t="shared" si="3"/>
        <v>0.14000000000000001</v>
      </c>
      <c r="J12" s="14"/>
      <c r="K12" s="11">
        <f ca="1">G12/((1+0.146)^5*(1+0.14))</f>
        <v>0.79200226112559891</v>
      </c>
      <c r="L12" s="7"/>
      <c r="P12" s="45">
        <v>7</v>
      </c>
      <c r="Q12" s="45">
        <v>80.349792741611068</v>
      </c>
      <c r="S12">
        <v>70</v>
      </c>
      <c r="T12">
        <f t="shared" si="5"/>
        <v>57</v>
      </c>
      <c r="U12">
        <f t="shared" si="6"/>
        <v>0.56999999999999995</v>
      </c>
    </row>
    <row r="13" spans="2:21" x14ac:dyDescent="0.25">
      <c r="B13" s="50"/>
      <c r="C13" s="16">
        <v>7</v>
      </c>
      <c r="D13" s="37">
        <f t="shared" ref="D13:D16" ca="1" si="7">D12-(0.36-0.06)/6</f>
        <v>0.25427665629618013</v>
      </c>
      <c r="E13" s="15">
        <f t="shared" ca="1" si="1"/>
        <v>11.192257795677477</v>
      </c>
      <c r="F13" s="34">
        <f t="shared" ref="F13:F16" si="8">F12+(0.6-0.12)/6</f>
        <v>0.28000000000000003</v>
      </c>
      <c r="G13" s="16">
        <f t="shared" ca="1" si="2"/>
        <v>3.133832182789694</v>
      </c>
      <c r="H13" s="15">
        <f t="shared" ref="H13:H16" si="9">H12-(1.6-1)/6</f>
        <v>1.4</v>
      </c>
      <c r="I13" s="42">
        <f t="shared" si="3"/>
        <v>0.13400000000000001</v>
      </c>
      <c r="J13" s="18"/>
      <c r="K13" s="15">
        <f ca="1">G13/((1+0.146)^5*(1+0.14)*(1+0.134))</f>
        <v>1.2264073430415188</v>
      </c>
      <c r="L13" s="7"/>
      <c r="P13" s="45">
        <v>8</v>
      </c>
      <c r="Q13" s="45">
        <v>67.745985620083502</v>
      </c>
      <c r="S13">
        <v>80</v>
      </c>
      <c r="T13">
        <f t="shared" si="5"/>
        <v>88</v>
      </c>
      <c r="U13">
        <f t="shared" si="6"/>
        <v>0.88</v>
      </c>
    </row>
    <row r="14" spans="2:21" x14ac:dyDescent="0.25">
      <c r="B14" s="50"/>
      <c r="C14" s="16">
        <v>8</v>
      </c>
      <c r="D14" s="37">
        <f t="shared" ca="1" si="7"/>
        <v>0.20427665629618014</v>
      </c>
      <c r="E14" s="15">
        <f t="shared" ca="1" si="1"/>
        <v>13.478574794583329</v>
      </c>
      <c r="F14" s="34">
        <f t="shared" si="8"/>
        <v>0.36000000000000004</v>
      </c>
      <c r="G14" s="16">
        <f t="shared" ca="1" si="2"/>
        <v>4.8522869260499988</v>
      </c>
      <c r="H14" s="15">
        <f t="shared" si="9"/>
        <v>1.2999999999999998</v>
      </c>
      <c r="I14" s="42">
        <f t="shared" si="3"/>
        <v>0.128</v>
      </c>
      <c r="J14" s="18"/>
      <c r="K14" s="15">
        <f ca="1">G14/((1+0.146)^5*(1+0.14)*(1+0.134)*(1+0.128))</f>
        <v>1.6834351075248357</v>
      </c>
      <c r="L14" s="7"/>
      <c r="P14" s="45">
        <v>9</v>
      </c>
      <c r="Q14" s="45">
        <v>59.986535220226621</v>
      </c>
      <c r="S14">
        <v>90</v>
      </c>
      <c r="T14">
        <f t="shared" si="5"/>
        <v>100</v>
      </c>
      <c r="U14">
        <f t="shared" si="6"/>
        <v>1</v>
      </c>
    </row>
    <row r="15" spans="2:21" x14ac:dyDescent="0.25">
      <c r="B15" s="50"/>
      <c r="C15" s="16">
        <v>9</v>
      </c>
      <c r="D15" s="37">
        <f t="shared" ca="1" si="7"/>
        <v>0.15427665629618015</v>
      </c>
      <c r="E15" s="15">
        <f t="shared" ca="1" si="1"/>
        <v>15.558004245529618</v>
      </c>
      <c r="F15" s="34">
        <f t="shared" si="8"/>
        <v>0.44000000000000006</v>
      </c>
      <c r="G15" s="16">
        <f t="shared" ca="1" si="2"/>
        <v>6.8455218680330328</v>
      </c>
      <c r="H15" s="15">
        <f t="shared" si="9"/>
        <v>1.1999999999999997</v>
      </c>
      <c r="I15" s="42">
        <f t="shared" si="3"/>
        <v>0.12199999999999998</v>
      </c>
      <c r="J15" s="18"/>
      <c r="K15" s="15">
        <f ca="1">G15/((1+0.146)^5*(1+0.14)*(1+0.134)*(1+0.128)*(1+0.122))</f>
        <v>2.1167209662367843</v>
      </c>
      <c r="L15" s="7"/>
      <c r="P15" s="45">
        <v>10</v>
      </c>
      <c r="Q15" s="45">
        <v>65.108977974747546</v>
      </c>
      <c r="S15">
        <v>100</v>
      </c>
      <c r="T15">
        <f t="shared" si="5"/>
        <v>100</v>
      </c>
      <c r="U15">
        <f t="shared" si="6"/>
        <v>1</v>
      </c>
    </row>
    <row r="16" spans="2:21" x14ac:dyDescent="0.25">
      <c r="B16" s="51"/>
      <c r="C16" s="20">
        <v>10</v>
      </c>
      <c r="D16" s="38">
        <f t="shared" ca="1" si="7"/>
        <v>0.10427665629618016</v>
      </c>
      <c r="E16" s="19">
        <f t="shared" ca="1" si="1"/>
        <v>17.180340906895221</v>
      </c>
      <c r="F16" s="35">
        <f t="shared" si="8"/>
        <v>0.52</v>
      </c>
      <c r="G16" s="20">
        <f t="shared" ca="1" si="2"/>
        <v>8.9337772715855159</v>
      </c>
      <c r="H16" s="19">
        <f t="shared" si="9"/>
        <v>1.0999999999999996</v>
      </c>
      <c r="I16" s="43">
        <f t="shared" si="3"/>
        <v>0.11599999999999998</v>
      </c>
      <c r="J16" s="22">
        <f ca="1">G17/(0.11-0.06)</f>
        <v>218.53393633570721</v>
      </c>
      <c r="K16" s="15">
        <f ca="1">G16/((1+0.146)^5*(1+0.14)*(1+0.134)*(1+0.128)*(1+0.122)*(1+0.116))</f>
        <v>2.4753007626102708</v>
      </c>
      <c r="L16" s="7">
        <f ca="1">J16/((1+0.146)^5*(1+0.14)*(1+0.134)*(1+0.128)*(1+0.122)*(1+0.116))</f>
        <v>60.549664808466609</v>
      </c>
      <c r="P16" s="45">
        <v>11</v>
      </c>
      <c r="Q16" s="45">
        <v>74.848472303745098</v>
      </c>
    </row>
    <row r="17" spans="2:17" x14ac:dyDescent="0.25">
      <c r="B17" s="52" t="s">
        <v>12</v>
      </c>
      <c r="C17" s="7">
        <v>11</v>
      </c>
      <c r="D17" s="39">
        <v>0.06</v>
      </c>
      <c r="E17" s="7">
        <f t="shared" ca="1" si="1"/>
        <v>18.211161361308935</v>
      </c>
      <c r="F17" s="36">
        <v>0.6</v>
      </c>
      <c r="G17" s="8">
        <f t="shared" ca="1" si="2"/>
        <v>10.926696816785361</v>
      </c>
      <c r="H17" s="7">
        <v>1</v>
      </c>
      <c r="I17" s="44">
        <f t="shared" si="3"/>
        <v>0.11</v>
      </c>
      <c r="J17" s="10"/>
      <c r="K17" s="23" t="s">
        <v>13</v>
      </c>
      <c r="L17" s="24">
        <f ca="1">SUM(K7:K16)+L16</f>
        <v>70.371305807651979</v>
      </c>
      <c r="P17" s="45">
        <v>12</v>
      </c>
      <c r="Q17" s="45">
        <v>68.596038738592938</v>
      </c>
    </row>
    <row r="18" spans="2:17" x14ac:dyDescent="0.25">
      <c r="B18" s="53"/>
      <c r="C18" s="7">
        <v>12</v>
      </c>
      <c r="D18" s="39">
        <v>0.06</v>
      </c>
      <c r="E18" s="7">
        <f t="shared" ca="1" si="1"/>
        <v>19.303831042987472</v>
      </c>
      <c r="F18" s="36">
        <v>0.6</v>
      </c>
      <c r="G18" s="8">
        <f t="shared" ca="1" si="2"/>
        <v>11.582298625792482</v>
      </c>
      <c r="H18" s="7">
        <v>1</v>
      </c>
      <c r="I18" s="44">
        <f t="shared" si="3"/>
        <v>0.11</v>
      </c>
      <c r="J18" s="10"/>
      <c r="K18" s="7"/>
      <c r="L18" s="7"/>
      <c r="P18" s="45">
        <v>13</v>
      </c>
      <c r="Q18" s="45">
        <v>52.986019643752968</v>
      </c>
    </row>
    <row r="19" spans="2:17" ht="14.45" x14ac:dyDescent="0.3">
      <c r="B19" s="2"/>
      <c r="C19" s="7">
        <v>13</v>
      </c>
      <c r="D19" s="39">
        <v>0.06</v>
      </c>
      <c r="E19" s="7">
        <f t="shared" ca="1" si="1"/>
        <v>20.462060905566723</v>
      </c>
      <c r="F19" s="36">
        <v>0.6</v>
      </c>
      <c r="G19" s="8">
        <f t="shared" ca="1" si="2"/>
        <v>12.277236543340033</v>
      </c>
      <c r="H19" s="7">
        <v>1</v>
      </c>
      <c r="I19" s="44">
        <f t="shared" si="3"/>
        <v>0.11</v>
      </c>
      <c r="K19" s="1"/>
      <c r="L19" s="1"/>
      <c r="P19" s="45">
        <v>14</v>
      </c>
      <c r="Q19" s="45">
        <v>76.331556506150278</v>
      </c>
    </row>
    <row r="20" spans="2:17" ht="14.45" x14ac:dyDescent="0.3">
      <c r="B20" s="2"/>
      <c r="C20" s="7">
        <v>14</v>
      </c>
      <c r="D20" s="39">
        <v>0.06</v>
      </c>
      <c r="E20" s="7">
        <f t="shared" ca="1" si="1"/>
        <v>21.689784559900726</v>
      </c>
      <c r="F20" s="36">
        <v>0.6</v>
      </c>
      <c r="G20" s="8">
        <f t="shared" ca="1" si="2"/>
        <v>13.013870735940435</v>
      </c>
      <c r="H20" s="7">
        <v>1</v>
      </c>
      <c r="I20" s="44">
        <f t="shared" si="3"/>
        <v>0.11</v>
      </c>
      <c r="K20" s="1"/>
      <c r="L20" s="1"/>
      <c r="P20" s="45">
        <v>15</v>
      </c>
      <c r="Q20" s="45">
        <v>63.465186800155436</v>
      </c>
    </row>
    <row r="21" spans="2:17" ht="14.45" x14ac:dyDescent="0.3">
      <c r="B21" s="2"/>
      <c r="C21" s="7">
        <v>15</v>
      </c>
      <c r="D21" s="39">
        <v>0.06</v>
      </c>
      <c r="E21" s="7">
        <f t="shared" ca="1" si="1"/>
        <v>22.991171633494773</v>
      </c>
      <c r="F21" s="36">
        <v>0.6</v>
      </c>
      <c r="G21" s="8">
        <f t="shared" ca="1" si="2"/>
        <v>13.794702980096863</v>
      </c>
      <c r="H21" s="7">
        <v>1</v>
      </c>
      <c r="I21" s="44">
        <f t="shared" si="3"/>
        <v>0.11</v>
      </c>
      <c r="K21" s="1"/>
      <c r="L21" s="1"/>
      <c r="P21" s="45">
        <v>16</v>
      </c>
      <c r="Q21" s="45">
        <v>58.287087331403747</v>
      </c>
    </row>
    <row r="22" spans="2:17" ht="14.45" x14ac:dyDescent="0.3">
      <c r="B22" s="2"/>
      <c r="C22" s="7">
        <v>16</v>
      </c>
      <c r="D22" s="39">
        <v>0.06</v>
      </c>
      <c r="E22" s="7">
        <f t="shared" ca="1" si="1"/>
        <v>24.370641931504462</v>
      </c>
      <c r="F22" s="36">
        <v>0.6</v>
      </c>
      <c r="G22" s="8">
        <f t="shared" ca="1" si="2"/>
        <v>14.622385158902677</v>
      </c>
      <c r="H22" s="7">
        <v>1</v>
      </c>
      <c r="I22" s="44">
        <f t="shared" si="3"/>
        <v>0.11</v>
      </c>
      <c r="K22" s="1"/>
      <c r="L22" s="1"/>
      <c r="P22" s="45">
        <v>17</v>
      </c>
      <c r="Q22" s="45">
        <v>69.863438889847941</v>
      </c>
    </row>
    <row r="23" spans="2:17" ht="14.45" x14ac:dyDescent="0.3">
      <c r="B23" s="2"/>
      <c r="C23" s="7">
        <v>17</v>
      </c>
      <c r="D23" s="39">
        <v>0.06</v>
      </c>
      <c r="E23" s="7">
        <f t="shared" ca="1" si="1"/>
        <v>25.832880447394732</v>
      </c>
      <c r="F23" s="36">
        <v>0.6</v>
      </c>
      <c r="G23" s="8">
        <f t="shared" ca="1" si="2"/>
        <v>15.499728268436838</v>
      </c>
      <c r="H23" s="7">
        <v>1</v>
      </c>
      <c r="I23" s="44">
        <f t="shared" si="3"/>
        <v>0.11</v>
      </c>
      <c r="K23" s="1"/>
      <c r="L23" s="1"/>
      <c r="P23" s="45">
        <v>18</v>
      </c>
      <c r="Q23" s="45">
        <v>53.985494548820057</v>
      </c>
    </row>
    <row r="24" spans="2:17" ht="14.45" x14ac:dyDescent="0.3">
      <c r="B24" s="2"/>
      <c r="C24" s="7">
        <v>18</v>
      </c>
      <c r="D24" s="39">
        <v>0.06</v>
      </c>
      <c r="E24" s="7">
        <f t="shared" ca="1" si="1"/>
        <v>27.382853274238418</v>
      </c>
      <c r="F24" s="36">
        <v>0.6</v>
      </c>
      <c r="G24" s="8">
        <f t="shared" ca="1" si="2"/>
        <v>16.429711964543049</v>
      </c>
      <c r="H24" s="7">
        <v>1</v>
      </c>
      <c r="I24" s="44">
        <f t="shared" si="3"/>
        <v>0.11</v>
      </c>
      <c r="K24" s="1"/>
      <c r="L24" s="1"/>
      <c r="P24" s="45">
        <v>19</v>
      </c>
      <c r="Q24" s="45">
        <v>60.261701903882617</v>
      </c>
    </row>
    <row r="25" spans="2:17" ht="14.45" x14ac:dyDescent="0.3">
      <c r="B25" s="2"/>
      <c r="C25" s="7">
        <v>19</v>
      </c>
      <c r="D25" s="39">
        <v>0.06</v>
      </c>
      <c r="E25" s="7">
        <f t="shared" ca="1" si="1"/>
        <v>29.025824470692726</v>
      </c>
      <c r="F25" s="36">
        <v>0.6</v>
      </c>
      <c r="G25" s="8">
        <f t="shared" ca="1" si="2"/>
        <v>17.415494682415634</v>
      </c>
      <c r="H25" s="7">
        <v>1</v>
      </c>
      <c r="I25" s="44">
        <f t="shared" si="3"/>
        <v>0.11</v>
      </c>
      <c r="K25" s="1"/>
      <c r="L25" s="1"/>
      <c r="P25" s="45">
        <v>20</v>
      </c>
      <c r="Q25" s="45">
        <v>72.869143808590877</v>
      </c>
    </row>
    <row r="26" spans="2:17" ht="14.45" x14ac:dyDescent="0.3">
      <c r="B26" s="2"/>
      <c r="C26" s="7">
        <v>20</v>
      </c>
      <c r="D26" s="39">
        <v>0.06</v>
      </c>
      <c r="E26" s="7">
        <f t="shared" ca="1" si="1"/>
        <v>30.767373938934291</v>
      </c>
      <c r="F26" s="36">
        <v>0.6</v>
      </c>
      <c r="G26" s="8">
        <f t="shared" ca="1" si="2"/>
        <v>18.460424363360573</v>
      </c>
      <c r="H26" s="7">
        <v>1</v>
      </c>
      <c r="I26" s="44">
        <f t="shared" si="3"/>
        <v>0.11</v>
      </c>
      <c r="K26" s="1"/>
      <c r="L26" s="1"/>
      <c r="P26" s="45">
        <v>21</v>
      </c>
      <c r="Q26" s="45">
        <v>62.590519691948451</v>
      </c>
    </row>
    <row r="27" spans="2:17" ht="14.45" x14ac:dyDescent="0.3">
      <c r="B27" s="2"/>
      <c r="C27" s="7">
        <v>21</v>
      </c>
      <c r="D27" s="39">
        <v>0.06</v>
      </c>
      <c r="E27" s="7">
        <f t="shared" ca="1" si="1"/>
        <v>32.613416375270347</v>
      </c>
      <c r="F27" s="36">
        <v>0.6</v>
      </c>
      <c r="G27" s="8">
        <f t="shared" ca="1" si="2"/>
        <v>19.568049825162209</v>
      </c>
      <c r="H27" s="7">
        <v>1</v>
      </c>
      <c r="I27" s="44">
        <f t="shared" si="3"/>
        <v>0.11</v>
      </c>
      <c r="K27" s="1"/>
      <c r="L27" s="1"/>
      <c r="P27" s="45">
        <v>22</v>
      </c>
      <c r="Q27" s="45">
        <v>61.47005232623399</v>
      </c>
    </row>
    <row r="28" spans="2:17" ht="14.45" x14ac:dyDescent="0.3">
      <c r="B28" s="2"/>
      <c r="C28" s="7">
        <v>22</v>
      </c>
      <c r="D28" s="39">
        <v>0.06</v>
      </c>
      <c r="E28" s="7">
        <f t="shared" ca="1" si="1"/>
        <v>34.570221357786572</v>
      </c>
      <c r="F28" s="36">
        <v>0.6</v>
      </c>
      <c r="G28" s="8">
        <f t="shared" ca="1" si="2"/>
        <v>20.742132814671944</v>
      </c>
      <c r="H28" s="7">
        <v>1</v>
      </c>
      <c r="I28" s="44">
        <f t="shared" si="3"/>
        <v>0.11</v>
      </c>
      <c r="K28" s="1"/>
      <c r="L28" s="1"/>
      <c r="P28" s="45">
        <v>23</v>
      </c>
      <c r="Q28" s="45">
        <v>81.551487867126923</v>
      </c>
    </row>
    <row r="29" spans="2:17" ht="14.45" x14ac:dyDescent="0.3">
      <c r="B29" s="2"/>
      <c r="C29" s="7">
        <v>23</v>
      </c>
      <c r="D29" s="39">
        <v>0.06</v>
      </c>
      <c r="E29" s="7">
        <f t="shared" ca="1" si="1"/>
        <v>36.644434639253767</v>
      </c>
      <c r="F29" s="36">
        <v>0.6</v>
      </c>
      <c r="G29" s="8">
        <f t="shared" ca="1" si="2"/>
        <v>21.98666078355226</v>
      </c>
      <c r="H29" s="7">
        <v>1</v>
      </c>
      <c r="I29" s="44">
        <f t="shared" si="3"/>
        <v>0.11</v>
      </c>
      <c r="K29" s="1"/>
      <c r="L29" s="1"/>
      <c r="P29" s="45">
        <v>24</v>
      </c>
      <c r="Q29" s="45">
        <v>58.054538955370688</v>
      </c>
    </row>
    <row r="30" spans="2:17" ht="14.45" x14ac:dyDescent="0.3">
      <c r="B30" s="2"/>
      <c r="C30" s="7">
        <v>24</v>
      </c>
      <c r="D30" s="39">
        <v>0.06</v>
      </c>
      <c r="E30" s="7">
        <f t="shared" ca="1" si="1"/>
        <v>38.843100717608998</v>
      </c>
      <c r="F30" s="36">
        <v>0.6</v>
      </c>
      <c r="G30" s="8">
        <f t="shared" ca="1" si="2"/>
        <v>23.305860430565399</v>
      </c>
      <c r="H30" s="7">
        <v>1</v>
      </c>
      <c r="I30" s="44">
        <f t="shared" si="3"/>
        <v>0.11</v>
      </c>
      <c r="K30" s="1"/>
      <c r="L30" s="1"/>
      <c r="P30" s="45">
        <v>25</v>
      </c>
      <c r="Q30" s="45">
        <v>76.44816123272841</v>
      </c>
    </row>
    <row r="31" spans="2:17" thickBot="1" x14ac:dyDescent="0.35">
      <c r="B31" s="28"/>
      <c r="C31" s="28"/>
      <c r="D31" s="28"/>
      <c r="E31" s="28"/>
      <c r="F31" s="28"/>
      <c r="G31" s="29"/>
      <c r="H31" s="28"/>
      <c r="I31" s="30"/>
      <c r="J31" s="27"/>
      <c r="K31" s="28"/>
      <c r="L31" s="28"/>
      <c r="P31" s="45">
        <v>26</v>
      </c>
      <c r="Q31" s="45">
        <v>49.654235667217627</v>
      </c>
    </row>
    <row r="32" spans="2:17" thickTop="1" x14ac:dyDescent="0.3">
      <c r="P32" s="45">
        <v>27</v>
      </c>
      <c r="Q32" s="45">
        <v>85.001434414436162</v>
      </c>
    </row>
    <row r="33" spans="16:17" ht="14.45" x14ac:dyDescent="0.3">
      <c r="P33" s="45">
        <v>28</v>
      </c>
      <c r="Q33" s="45">
        <v>54.800336525287896</v>
      </c>
    </row>
    <row r="34" spans="16:17" ht="14.45" x14ac:dyDescent="0.3">
      <c r="P34" s="45">
        <v>29</v>
      </c>
      <c r="Q34" s="45">
        <v>61.997772776791678</v>
      </c>
    </row>
    <row r="35" spans="16:17" ht="14.45" x14ac:dyDescent="0.3">
      <c r="P35" s="45">
        <v>30</v>
      </c>
      <c r="Q35" s="45">
        <v>67.126465974535506</v>
      </c>
    </row>
    <row r="36" spans="16:17" ht="14.45" x14ac:dyDescent="0.3">
      <c r="P36" s="45">
        <v>31</v>
      </c>
      <c r="Q36" s="45">
        <v>55.818012409985585</v>
      </c>
    </row>
    <row r="37" spans="16:17" ht="14.45" x14ac:dyDescent="0.3">
      <c r="P37" s="45">
        <v>32</v>
      </c>
      <c r="Q37" s="45">
        <v>85.159380404173646</v>
      </c>
    </row>
    <row r="38" spans="16:17" ht="14.45" x14ac:dyDescent="0.3">
      <c r="P38" s="45">
        <v>33</v>
      </c>
      <c r="Q38" s="45">
        <v>65.454866529655249</v>
      </c>
    </row>
    <row r="39" spans="16:17" ht="14.45" x14ac:dyDescent="0.3">
      <c r="P39" s="45">
        <v>34</v>
      </c>
      <c r="Q39" s="45">
        <v>67.617439335707715</v>
      </c>
    </row>
    <row r="40" spans="16:17" ht="14.45" x14ac:dyDescent="0.3">
      <c r="P40" s="45">
        <v>35</v>
      </c>
      <c r="Q40" s="45">
        <v>74.628120136822332</v>
      </c>
    </row>
    <row r="41" spans="16:17" ht="14.45" x14ac:dyDescent="0.3">
      <c r="P41" s="45">
        <v>36</v>
      </c>
      <c r="Q41" s="45">
        <v>62.130608276754621</v>
      </c>
    </row>
    <row r="42" spans="16:17" ht="14.45" x14ac:dyDescent="0.3">
      <c r="P42" s="45">
        <v>37</v>
      </c>
      <c r="Q42" s="45">
        <v>60.409321215552566</v>
      </c>
    </row>
    <row r="43" spans="16:17" ht="14.45" x14ac:dyDescent="0.3">
      <c r="P43" s="45">
        <v>38</v>
      </c>
      <c r="Q43" s="45">
        <v>69.847418714353552</v>
      </c>
    </row>
    <row r="44" spans="16:17" ht="14.45" x14ac:dyDescent="0.3">
      <c r="P44" s="45">
        <v>39</v>
      </c>
      <c r="Q44" s="45">
        <v>72.601263410146899</v>
      </c>
    </row>
    <row r="45" spans="16:17" ht="14.45" x14ac:dyDescent="0.3">
      <c r="P45" s="45">
        <v>40</v>
      </c>
      <c r="Q45" s="45">
        <v>57.519695919132069</v>
      </c>
    </row>
    <row r="46" spans="16:17" ht="14.45" x14ac:dyDescent="0.3">
      <c r="P46" s="45">
        <v>41</v>
      </c>
      <c r="Q46" s="45">
        <v>68.738150471558839</v>
      </c>
    </row>
    <row r="47" spans="16:17" ht="14.45" x14ac:dyDescent="0.3">
      <c r="P47" s="45">
        <v>42</v>
      </c>
      <c r="Q47" s="45">
        <v>78.4459800572115</v>
      </c>
    </row>
    <row r="48" spans="16:17" x14ac:dyDescent="0.25">
      <c r="P48" s="45">
        <v>43</v>
      </c>
      <c r="Q48" s="45">
        <v>78.674529990270045</v>
      </c>
    </row>
    <row r="49" spans="16:17" x14ac:dyDescent="0.25">
      <c r="P49" s="45">
        <v>44</v>
      </c>
      <c r="Q49" s="45">
        <v>79.283259744542335</v>
      </c>
    </row>
    <row r="50" spans="16:17" x14ac:dyDescent="0.25">
      <c r="P50" s="45">
        <v>45</v>
      </c>
      <c r="Q50" s="45">
        <v>81.204097318611844</v>
      </c>
    </row>
    <row r="51" spans="16:17" x14ac:dyDescent="0.25">
      <c r="P51" s="45">
        <v>46</v>
      </c>
      <c r="Q51" s="45">
        <v>53.851300764719554</v>
      </c>
    </row>
    <row r="52" spans="16:17" x14ac:dyDescent="0.25">
      <c r="P52" s="45">
        <v>47</v>
      </c>
      <c r="Q52" s="45">
        <v>79.651247163401806</v>
      </c>
    </row>
    <row r="53" spans="16:17" x14ac:dyDescent="0.25">
      <c r="P53" s="45">
        <v>48</v>
      </c>
      <c r="Q53" s="45">
        <v>74.886145112747172</v>
      </c>
    </row>
    <row r="54" spans="16:17" x14ac:dyDescent="0.25">
      <c r="P54" s="45">
        <v>49</v>
      </c>
      <c r="Q54" s="45">
        <v>73.0455511913229</v>
      </c>
    </row>
    <row r="55" spans="16:17" x14ac:dyDescent="0.25">
      <c r="P55" s="45">
        <v>50</v>
      </c>
      <c r="Q55" s="45">
        <v>73.608349107843765</v>
      </c>
    </row>
    <row r="56" spans="16:17" x14ac:dyDescent="0.25">
      <c r="P56" s="45">
        <v>51</v>
      </c>
      <c r="Q56" s="45">
        <v>53.162995273775032</v>
      </c>
    </row>
    <row r="57" spans="16:17" x14ac:dyDescent="0.25">
      <c r="P57" s="45">
        <v>52</v>
      </c>
      <c r="Q57" s="45">
        <v>76.454845401583142</v>
      </c>
    </row>
    <row r="58" spans="16:17" x14ac:dyDescent="0.25">
      <c r="P58" s="45">
        <v>53</v>
      </c>
      <c r="Q58" s="45">
        <v>64.564718533610176</v>
      </c>
    </row>
    <row r="59" spans="16:17" x14ac:dyDescent="0.25">
      <c r="P59" s="45">
        <v>54</v>
      </c>
      <c r="Q59" s="45">
        <v>56.347596556834091</v>
      </c>
    </row>
    <row r="60" spans="16:17" x14ac:dyDescent="0.25">
      <c r="P60" s="45">
        <v>55</v>
      </c>
      <c r="Q60" s="45">
        <v>60.843672281654975</v>
      </c>
    </row>
    <row r="61" spans="16:17" x14ac:dyDescent="0.25">
      <c r="P61" s="45">
        <v>56</v>
      </c>
      <c r="Q61" s="45">
        <v>54.504777083044338</v>
      </c>
    </row>
    <row r="62" spans="16:17" x14ac:dyDescent="0.25">
      <c r="P62" s="45">
        <v>57</v>
      </c>
      <c r="Q62" s="45">
        <v>52.428039663333209</v>
      </c>
    </row>
    <row r="63" spans="16:17" x14ac:dyDescent="0.25">
      <c r="P63" s="45">
        <v>58</v>
      </c>
      <c r="Q63" s="45">
        <v>64.045560699094324</v>
      </c>
    </row>
    <row r="64" spans="16:17" x14ac:dyDescent="0.25">
      <c r="P64" s="45">
        <v>59</v>
      </c>
      <c r="Q64" s="45">
        <v>76.195011481593724</v>
      </c>
    </row>
    <row r="65" spans="16:17" x14ac:dyDescent="0.25">
      <c r="P65" s="45">
        <v>60</v>
      </c>
      <c r="Q65" s="45">
        <v>86.146524158667347</v>
      </c>
    </row>
    <row r="66" spans="16:17" x14ac:dyDescent="0.25">
      <c r="P66" s="45">
        <v>61</v>
      </c>
      <c r="Q66" s="45">
        <v>60.815569422628869</v>
      </c>
    </row>
    <row r="67" spans="16:17" x14ac:dyDescent="0.25">
      <c r="P67" s="45">
        <v>62</v>
      </c>
      <c r="Q67" s="45">
        <v>85.659520055546764</v>
      </c>
    </row>
    <row r="68" spans="16:17" x14ac:dyDescent="0.25">
      <c r="P68" s="45">
        <v>63</v>
      </c>
      <c r="Q68" s="45">
        <v>65.229220207455143</v>
      </c>
    </row>
    <row r="69" spans="16:17" x14ac:dyDescent="0.25">
      <c r="P69" s="45">
        <v>64</v>
      </c>
      <c r="Q69" s="45">
        <v>70.920711999996655</v>
      </c>
    </row>
    <row r="70" spans="16:17" x14ac:dyDescent="0.25">
      <c r="P70" s="45">
        <v>65</v>
      </c>
      <c r="Q70" s="45">
        <v>66.339666234507504</v>
      </c>
    </row>
    <row r="71" spans="16:17" x14ac:dyDescent="0.25">
      <c r="P71" s="45">
        <v>66</v>
      </c>
      <c r="Q71" s="45">
        <v>77.758921077179778</v>
      </c>
    </row>
    <row r="72" spans="16:17" x14ac:dyDescent="0.25">
      <c r="P72" s="45">
        <v>67</v>
      </c>
      <c r="Q72" s="45">
        <v>76.679588213710616</v>
      </c>
    </row>
    <row r="73" spans="16:17" x14ac:dyDescent="0.25">
      <c r="P73" s="45">
        <v>68</v>
      </c>
      <c r="Q73" s="45">
        <v>81.432342863328046</v>
      </c>
    </row>
    <row r="74" spans="16:17" x14ac:dyDescent="0.25">
      <c r="P74" s="45">
        <v>69</v>
      </c>
      <c r="Q74" s="45">
        <v>53.847741673039806</v>
      </c>
    </row>
    <row r="75" spans="16:17" x14ac:dyDescent="0.25">
      <c r="P75" s="45">
        <v>70</v>
      </c>
      <c r="Q75" s="45">
        <v>59.948806237224957</v>
      </c>
    </row>
    <row r="76" spans="16:17" x14ac:dyDescent="0.25">
      <c r="P76" s="45">
        <v>71</v>
      </c>
      <c r="Q76" s="45">
        <v>76.262658930759969</v>
      </c>
    </row>
    <row r="77" spans="16:17" x14ac:dyDescent="0.25">
      <c r="P77" s="45">
        <v>72</v>
      </c>
      <c r="Q77" s="45">
        <v>57.416345240269557</v>
      </c>
    </row>
    <row r="78" spans="16:17" x14ac:dyDescent="0.25">
      <c r="P78" s="45">
        <v>73</v>
      </c>
      <c r="Q78" s="45">
        <v>64.893090042829712</v>
      </c>
    </row>
    <row r="79" spans="16:17" x14ac:dyDescent="0.25">
      <c r="P79" s="45">
        <v>74</v>
      </c>
      <c r="Q79" s="45">
        <v>80.797622266888368</v>
      </c>
    </row>
    <row r="80" spans="16:17" x14ac:dyDescent="0.25">
      <c r="P80" s="45">
        <v>75</v>
      </c>
      <c r="Q80" s="45">
        <v>76.86478663517876</v>
      </c>
    </row>
    <row r="81" spans="16:17" x14ac:dyDescent="0.25">
      <c r="P81" s="45">
        <v>76</v>
      </c>
      <c r="Q81" s="45">
        <v>77.717306629980683</v>
      </c>
    </row>
    <row r="82" spans="16:17" x14ac:dyDescent="0.25">
      <c r="P82" s="45">
        <v>77</v>
      </c>
      <c r="Q82" s="45">
        <v>63.006874142412819</v>
      </c>
    </row>
    <row r="83" spans="16:17" x14ac:dyDescent="0.25">
      <c r="P83" s="45">
        <v>78</v>
      </c>
      <c r="Q83" s="45">
        <v>66.899950448183773</v>
      </c>
    </row>
    <row r="84" spans="16:17" x14ac:dyDescent="0.25">
      <c r="P84" s="45">
        <v>79</v>
      </c>
      <c r="Q84" s="45">
        <v>58.887065617792629</v>
      </c>
    </row>
    <row r="85" spans="16:17" x14ac:dyDescent="0.25">
      <c r="P85" s="45">
        <v>80</v>
      </c>
      <c r="Q85" s="45">
        <v>53.578765976577657</v>
      </c>
    </row>
    <row r="86" spans="16:17" x14ac:dyDescent="0.25">
      <c r="P86" s="45">
        <v>81</v>
      </c>
      <c r="Q86" s="45">
        <v>75.605534403048438</v>
      </c>
    </row>
    <row r="87" spans="16:17" x14ac:dyDescent="0.25">
      <c r="P87" s="45">
        <v>82</v>
      </c>
      <c r="Q87" s="45">
        <v>54.498403981366927</v>
      </c>
    </row>
    <row r="88" spans="16:17" x14ac:dyDescent="0.25">
      <c r="P88" s="45">
        <v>83</v>
      </c>
      <c r="Q88" s="45">
        <v>70.002367825986326</v>
      </c>
    </row>
    <row r="89" spans="16:17" x14ac:dyDescent="0.25">
      <c r="P89" s="45">
        <v>84</v>
      </c>
      <c r="Q89" s="45">
        <v>65.998706089265099</v>
      </c>
    </row>
    <row r="90" spans="16:17" x14ac:dyDescent="0.25">
      <c r="P90" s="45">
        <v>85</v>
      </c>
      <c r="Q90" s="45">
        <v>54.499054220937865</v>
      </c>
    </row>
    <row r="91" spans="16:17" x14ac:dyDescent="0.25">
      <c r="P91" s="45">
        <v>86</v>
      </c>
      <c r="Q91" s="45">
        <v>58.675120107912178</v>
      </c>
    </row>
    <row r="92" spans="16:17" x14ac:dyDescent="0.25">
      <c r="P92" s="45">
        <v>87</v>
      </c>
      <c r="Q92" s="45">
        <v>60.966996982215633</v>
      </c>
    </row>
    <row r="93" spans="16:17" x14ac:dyDescent="0.25">
      <c r="P93" s="45">
        <v>88</v>
      </c>
      <c r="Q93" s="45">
        <v>74.030222081961242</v>
      </c>
    </row>
    <row r="94" spans="16:17" x14ac:dyDescent="0.25">
      <c r="P94" s="45">
        <v>89</v>
      </c>
      <c r="Q94" s="45">
        <v>82.51948640637427</v>
      </c>
    </row>
    <row r="95" spans="16:17" x14ac:dyDescent="0.25">
      <c r="P95" s="45">
        <v>90</v>
      </c>
      <c r="Q95" s="45">
        <v>72.288108803232717</v>
      </c>
    </row>
    <row r="96" spans="16:17" x14ac:dyDescent="0.25">
      <c r="P96" s="45">
        <v>91</v>
      </c>
      <c r="Q96" s="45">
        <v>56.693039692317484</v>
      </c>
    </row>
    <row r="97" spans="16:17" x14ac:dyDescent="0.25">
      <c r="P97" s="45">
        <v>92</v>
      </c>
      <c r="Q97" s="45">
        <v>59.659956333919233</v>
      </c>
    </row>
    <row r="98" spans="16:17" x14ac:dyDescent="0.25">
      <c r="P98" s="45">
        <v>93</v>
      </c>
      <c r="Q98" s="45">
        <v>66.753666536708124</v>
      </c>
    </row>
    <row r="99" spans="16:17" x14ac:dyDescent="0.25">
      <c r="P99" s="45">
        <v>94</v>
      </c>
      <c r="Q99" s="45">
        <v>55.860820630136054</v>
      </c>
    </row>
    <row r="100" spans="16:17" x14ac:dyDescent="0.25">
      <c r="P100" s="45">
        <v>95</v>
      </c>
      <c r="Q100" s="45">
        <v>70.257658695501675</v>
      </c>
    </row>
    <row r="101" spans="16:17" x14ac:dyDescent="0.25">
      <c r="P101" s="45">
        <v>96</v>
      </c>
      <c r="Q101" s="45">
        <v>60.14683325631924</v>
      </c>
    </row>
    <row r="102" spans="16:17" x14ac:dyDescent="0.25">
      <c r="P102" s="45">
        <v>97</v>
      </c>
      <c r="Q102" s="45">
        <v>72.366787906333315</v>
      </c>
    </row>
    <row r="103" spans="16:17" x14ac:dyDescent="0.25">
      <c r="P103" s="45">
        <v>98</v>
      </c>
      <c r="Q103" s="45">
        <v>54.144409003449219</v>
      </c>
    </row>
    <row r="104" spans="16:17" x14ac:dyDescent="0.25">
      <c r="P104" s="45">
        <v>99</v>
      </c>
      <c r="Q104" s="45">
        <v>55.849845615640618</v>
      </c>
    </row>
    <row r="105" spans="16:17" x14ac:dyDescent="0.25">
      <c r="P105" s="45">
        <v>100</v>
      </c>
      <c r="Q105" s="45">
        <v>74.884186488557091</v>
      </c>
    </row>
  </sheetData>
  <mergeCells count="5">
    <mergeCell ref="B7:B11"/>
    <mergeCell ref="B12:B16"/>
    <mergeCell ref="B17:B18"/>
    <mergeCell ref="B2:L3"/>
    <mergeCell ref="P4:Q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9"/>
  <sheetViews>
    <sheetView workbookViewId="0">
      <selection activeCell="M17" sqref="M17"/>
    </sheetView>
  </sheetViews>
  <sheetFormatPr defaultRowHeight="15" x14ac:dyDescent="0.25"/>
  <cols>
    <col min="2" max="2" width="11.140625" style="1" customWidth="1"/>
    <col min="3" max="5" width="8.85546875" style="1"/>
    <col min="6" max="6" width="11.28515625" style="1" bestFit="1" customWidth="1"/>
    <col min="7" max="7" width="8.85546875" style="3"/>
    <col min="8" max="8" width="8.85546875" style="1"/>
    <col min="9" max="9" width="6" style="4" bestFit="1" customWidth="1"/>
    <col min="10" max="10" width="9.7109375" customWidth="1"/>
    <col min="11" max="11" width="9.140625" style="1" customWidth="1"/>
    <col min="12" max="12" width="10.7109375" style="1" customWidth="1"/>
  </cols>
  <sheetData>
    <row r="1" spans="2:12" thickBot="1" x14ac:dyDescent="0.35">
      <c r="B1" s="28"/>
      <c r="C1" s="28"/>
      <c r="D1" s="28"/>
      <c r="E1" s="28"/>
      <c r="F1" s="28"/>
      <c r="G1" s="29"/>
      <c r="H1" s="28"/>
      <c r="I1" s="30"/>
      <c r="J1" s="27"/>
      <c r="K1" s="28"/>
      <c r="L1" s="28"/>
    </row>
    <row r="2" spans="2:12" ht="30" thickTop="1" thickBot="1" x14ac:dyDescent="0.35">
      <c r="B2" s="31"/>
      <c r="C2" s="26" t="s">
        <v>0</v>
      </c>
      <c r="D2" s="26" t="s">
        <v>1</v>
      </c>
      <c r="E2" s="26" t="s">
        <v>2</v>
      </c>
      <c r="F2" s="26" t="s">
        <v>5</v>
      </c>
      <c r="G2" s="26" t="s">
        <v>6</v>
      </c>
      <c r="H2" s="26" t="s">
        <v>3</v>
      </c>
      <c r="I2" s="26" t="s">
        <v>4</v>
      </c>
      <c r="J2" s="26" t="s">
        <v>7</v>
      </c>
      <c r="K2" s="26" t="s">
        <v>8</v>
      </c>
      <c r="L2" s="26" t="s">
        <v>9</v>
      </c>
    </row>
    <row r="3" spans="2:12" thickTop="1" x14ac:dyDescent="0.3">
      <c r="B3" s="7"/>
      <c r="C3" s="7">
        <v>0</v>
      </c>
      <c r="D3" s="7">
        <f ca="1">_xll.RiskTriang(0.25,0.35,0.5,_xll.RiskStatic(0.36))</f>
        <v>0.36</v>
      </c>
      <c r="E3" s="7">
        <v>1.5</v>
      </c>
      <c r="F3" s="7">
        <f ca="1">_xll.RiskTriang(0.05,0.12,0.15,_xll.RiskStatic(0.12))</f>
        <v>0.12</v>
      </c>
      <c r="G3" s="8"/>
      <c r="H3" s="7">
        <f ca="1">_xll.RiskTriang(1.5,1.6,2.5,_xll.RiskStatic(1.6))</f>
        <v>1.6</v>
      </c>
      <c r="I3" s="9"/>
      <c r="J3" s="10"/>
      <c r="K3" s="7"/>
      <c r="L3" s="7"/>
    </row>
    <row r="4" spans="2:12" x14ac:dyDescent="0.25">
      <c r="B4" s="46" t="s">
        <v>10</v>
      </c>
      <c r="C4" s="12">
        <v>1</v>
      </c>
      <c r="D4" s="11">
        <f ca="1">D3</f>
        <v>0.36</v>
      </c>
      <c r="E4" s="11">
        <f ca="1">E3*(1+D4)</f>
        <v>2.04</v>
      </c>
      <c r="F4" s="11">
        <f ca="1">F3</f>
        <v>0.12</v>
      </c>
      <c r="G4" s="12">
        <f ca="1">E4*F4</f>
        <v>0.24479999999999999</v>
      </c>
      <c r="H4" s="11">
        <f ca="1">H3</f>
        <v>1.6</v>
      </c>
      <c r="I4" s="13">
        <f ca="1">0.05+H4*0.06</f>
        <v>0.14600000000000002</v>
      </c>
      <c r="J4" s="14"/>
      <c r="K4" s="11">
        <f ca="1">G4/(1+I4)^C4</f>
        <v>0.21361256544502619</v>
      </c>
      <c r="L4" s="7"/>
    </row>
    <row r="5" spans="2:12" x14ac:dyDescent="0.25">
      <c r="B5" s="47"/>
      <c r="C5" s="16">
        <v>2</v>
      </c>
      <c r="D5" s="15">
        <f t="shared" ref="D5:D8" ca="1" si="0">D4</f>
        <v>0.36</v>
      </c>
      <c r="E5" s="15">
        <f t="shared" ref="E5:E27" ca="1" si="1">E4*(1+D5)</f>
        <v>2.7744</v>
      </c>
      <c r="F5" s="15">
        <f t="shared" ref="F5:F8" ca="1" si="2">F4</f>
        <v>0.12</v>
      </c>
      <c r="G5" s="16">
        <f t="shared" ref="G5:G27" ca="1" si="3">E5*F5</f>
        <v>0.332928</v>
      </c>
      <c r="H5" s="15">
        <f t="shared" ref="H5:H8" ca="1" si="4">H4</f>
        <v>1.6</v>
      </c>
      <c r="I5" s="17">
        <f t="shared" ref="I5:I27" ca="1" si="5">0.05+H5*0.06</f>
        <v>0.14600000000000002</v>
      </c>
      <c r="J5" s="18"/>
      <c r="K5" s="15">
        <f t="shared" ref="K5:K8" ca="1" si="6">G5/(1+I5)^C5</f>
        <v>0.25350182286669781</v>
      </c>
      <c r="L5" s="7"/>
    </row>
    <row r="6" spans="2:12" x14ac:dyDescent="0.25">
      <c r="B6" s="47"/>
      <c r="C6" s="16">
        <v>3</v>
      </c>
      <c r="D6" s="15">
        <f t="shared" ca="1" si="0"/>
        <v>0.36</v>
      </c>
      <c r="E6" s="15">
        <f t="shared" ca="1" si="1"/>
        <v>3.7731839999999996</v>
      </c>
      <c r="F6" s="15">
        <f t="shared" ca="1" si="2"/>
        <v>0.12</v>
      </c>
      <c r="G6" s="16">
        <f t="shared" ca="1" si="3"/>
        <v>0.45278207999999992</v>
      </c>
      <c r="H6" s="15">
        <f t="shared" ca="1" si="4"/>
        <v>1.6</v>
      </c>
      <c r="I6" s="17">
        <f t="shared" ca="1" si="5"/>
        <v>0.14600000000000002</v>
      </c>
      <c r="J6" s="18"/>
      <c r="K6" s="15">
        <f t="shared" ca="1" si="6"/>
        <v>0.30083985959747728</v>
      </c>
      <c r="L6" s="7"/>
    </row>
    <row r="7" spans="2:12" x14ac:dyDescent="0.25">
      <c r="B7" s="47"/>
      <c r="C7" s="16">
        <v>4</v>
      </c>
      <c r="D7" s="15">
        <f t="shared" ca="1" si="0"/>
        <v>0.36</v>
      </c>
      <c r="E7" s="15">
        <f t="shared" ca="1" si="1"/>
        <v>5.1315302399999991</v>
      </c>
      <c r="F7" s="15">
        <f t="shared" ca="1" si="2"/>
        <v>0.12</v>
      </c>
      <c r="G7" s="16">
        <f t="shared" ca="1" si="3"/>
        <v>0.61578362879999993</v>
      </c>
      <c r="H7" s="15">
        <f t="shared" ca="1" si="4"/>
        <v>1.6</v>
      </c>
      <c r="I7" s="17">
        <f t="shared" ca="1" si="5"/>
        <v>0.14600000000000002</v>
      </c>
      <c r="J7" s="18"/>
      <c r="K7" s="15">
        <f t="shared" ca="1" si="6"/>
        <v>0.35701763442632561</v>
      </c>
      <c r="L7" s="7"/>
    </row>
    <row r="8" spans="2:12" x14ac:dyDescent="0.25">
      <c r="B8" s="48"/>
      <c r="C8" s="16">
        <v>5</v>
      </c>
      <c r="D8" s="15">
        <f t="shared" ca="1" si="0"/>
        <v>0.36</v>
      </c>
      <c r="E8" s="15">
        <f t="shared" ca="1" si="1"/>
        <v>6.9788811263999984</v>
      </c>
      <c r="F8" s="15">
        <f t="shared" ca="1" si="2"/>
        <v>0.12</v>
      </c>
      <c r="G8" s="16">
        <f t="shared" ca="1" si="3"/>
        <v>0.83746573516799983</v>
      </c>
      <c r="H8" s="15">
        <f t="shared" ca="1" si="4"/>
        <v>1.6</v>
      </c>
      <c r="I8" s="17">
        <f t="shared" ca="1" si="5"/>
        <v>0.14600000000000002</v>
      </c>
      <c r="J8" s="22"/>
      <c r="K8" s="19">
        <f t="shared" ca="1" si="6"/>
        <v>0.42368584888289951</v>
      </c>
      <c r="L8" s="7"/>
    </row>
    <row r="9" spans="2:12" x14ac:dyDescent="0.25">
      <c r="B9" s="49" t="s">
        <v>11</v>
      </c>
      <c r="C9" s="12">
        <v>6</v>
      </c>
      <c r="D9" s="11">
        <f ca="1">D8-($D$3-0.06)/6</f>
        <v>0.31</v>
      </c>
      <c r="E9" s="11">
        <f t="shared" ca="1" si="1"/>
        <v>9.1423342755839982</v>
      </c>
      <c r="F9" s="11">
        <f ca="1">F8+(0.6-$F$3)/6</f>
        <v>0.2</v>
      </c>
      <c r="G9" s="12">
        <f t="shared" ca="1" si="3"/>
        <v>1.8284668551167997</v>
      </c>
      <c r="H9" s="11">
        <f ca="1">H8-($H$3-1)/6</f>
        <v>1.5</v>
      </c>
      <c r="I9" s="13">
        <f t="shared" ca="1" si="5"/>
        <v>0.14000000000000001</v>
      </c>
      <c r="J9" s="14"/>
      <c r="K9" s="11">
        <f ca="1">G9/((1+0.146)^5*(1+0.14))</f>
        <v>0.81144511993654722</v>
      </c>
      <c r="L9" s="7"/>
    </row>
    <row r="10" spans="2:12" x14ac:dyDescent="0.25">
      <c r="B10" s="50"/>
      <c r="C10" s="16">
        <v>7</v>
      </c>
      <c r="D10" s="15">
        <f t="shared" ref="D10:D13" ca="1" si="7">D9-($D$3-0.06)/6</f>
        <v>0.26</v>
      </c>
      <c r="E10" s="15">
        <f t="shared" ca="1" si="1"/>
        <v>11.519341187235838</v>
      </c>
      <c r="F10" s="15">
        <f t="shared" ref="F10:F13" ca="1" si="8">F9+(0.6-$F$3)/6</f>
        <v>0.28000000000000003</v>
      </c>
      <c r="G10" s="16">
        <f t="shared" ca="1" si="3"/>
        <v>3.2254155324260352</v>
      </c>
      <c r="H10" s="15">
        <f t="shared" ref="H10:H13" ca="1" si="9">H9-($H$3-1)/6</f>
        <v>1.4</v>
      </c>
      <c r="I10" s="17">
        <f t="shared" ca="1" si="5"/>
        <v>0.13400000000000001</v>
      </c>
      <c r="J10" s="18"/>
      <c r="K10" s="15">
        <f ca="1">G10/((1+0.146)^5*(1+0.14)*(1+0.134))</f>
        <v>1.2622479643457405</v>
      </c>
      <c r="L10" s="7"/>
    </row>
    <row r="11" spans="2:12" x14ac:dyDescent="0.25">
      <c r="B11" s="50"/>
      <c r="C11" s="16">
        <v>8</v>
      </c>
      <c r="D11" s="15">
        <f t="shared" ca="1" si="7"/>
        <v>0.21000000000000002</v>
      </c>
      <c r="E11" s="15">
        <f t="shared" ca="1" si="1"/>
        <v>13.938402836555364</v>
      </c>
      <c r="F11" s="15">
        <f t="shared" ca="1" si="8"/>
        <v>0.36000000000000004</v>
      </c>
      <c r="G11" s="16">
        <f t="shared" ca="1" si="3"/>
        <v>5.0178250211599318</v>
      </c>
      <c r="H11" s="15">
        <f t="shared" ca="1" si="9"/>
        <v>1.2999999999999998</v>
      </c>
      <c r="I11" s="17">
        <f t="shared" ca="1" si="5"/>
        <v>0.128</v>
      </c>
      <c r="J11" s="18"/>
      <c r="K11" s="15">
        <f ca="1">G11/((1+0.146)^5*(1+0.14)*(1+0.134)*(1+0.128))</f>
        <v>1.7408663034099685</v>
      </c>
      <c r="L11" s="7"/>
    </row>
    <row r="12" spans="2:12" x14ac:dyDescent="0.25">
      <c r="B12" s="50"/>
      <c r="C12" s="16">
        <v>9</v>
      </c>
      <c r="D12" s="15">
        <f t="shared" ca="1" si="7"/>
        <v>0.16000000000000003</v>
      </c>
      <c r="E12" s="15">
        <f t="shared" ca="1" si="1"/>
        <v>16.168547290404224</v>
      </c>
      <c r="F12" s="15">
        <f t="shared" ca="1" si="8"/>
        <v>0.44000000000000006</v>
      </c>
      <c r="G12" s="16">
        <f t="shared" ca="1" si="3"/>
        <v>7.1141608077778589</v>
      </c>
      <c r="H12" s="15">
        <f t="shared" ca="1" si="9"/>
        <v>1.1999999999999997</v>
      </c>
      <c r="I12" s="17">
        <f t="shared" ca="1" si="5"/>
        <v>0.12199999999999998</v>
      </c>
      <c r="J12" s="18"/>
      <c r="K12" s="15">
        <f ca="1">G12/((1+0.146)^5*(1+0.14)*(1+0.134)*(1+0.128)*(1+0.122))</f>
        <v>2.1997874857903743</v>
      </c>
      <c r="L12" s="7"/>
    </row>
    <row r="13" spans="2:12" x14ac:dyDescent="0.25">
      <c r="B13" s="51"/>
      <c r="C13" s="20">
        <v>10</v>
      </c>
      <c r="D13" s="19">
        <f t="shared" ca="1" si="7"/>
        <v>0.11000000000000004</v>
      </c>
      <c r="E13" s="19">
        <f t="shared" ca="1" si="1"/>
        <v>17.94708749234869</v>
      </c>
      <c r="F13" s="19">
        <f t="shared" ca="1" si="8"/>
        <v>0.52</v>
      </c>
      <c r="G13" s="20">
        <f t="shared" ca="1" si="3"/>
        <v>9.3324854960213184</v>
      </c>
      <c r="H13" s="19">
        <f t="shared" ca="1" si="9"/>
        <v>1.0999999999999996</v>
      </c>
      <c r="I13" s="21">
        <f t="shared" ca="1" si="5"/>
        <v>0.11599999999999998</v>
      </c>
      <c r="J13" s="22">
        <f ca="1">G14/(0.11-0.06)</f>
        <v>228.28695290267532</v>
      </c>
      <c r="K13" s="15">
        <f ca="1">G13/((1+0.146)^5*(1+0.14)*(1+0.134)*(1+0.128)*(1+0.122)*(1+0.116))</f>
        <v>2.5857717025053026</v>
      </c>
      <c r="L13" s="7">
        <f ca="1">J13/((1+0.146)^5*(1+0.14)*(1+0.134)*(1+0.128)*(1+0.122)*(1+0.116))</f>
        <v>63.251953953591254</v>
      </c>
    </row>
    <row r="14" spans="2:12" x14ac:dyDescent="0.25">
      <c r="B14" s="52" t="s">
        <v>12</v>
      </c>
      <c r="C14" s="7">
        <v>11</v>
      </c>
      <c r="D14" s="7">
        <v>0.06</v>
      </c>
      <c r="E14" s="7">
        <f t="shared" ca="1" si="1"/>
        <v>19.02391274188961</v>
      </c>
      <c r="F14" s="7">
        <v>0.6</v>
      </c>
      <c r="G14" s="8">
        <f t="shared" ca="1" si="3"/>
        <v>11.414347645133766</v>
      </c>
      <c r="H14" s="7">
        <v>1</v>
      </c>
      <c r="I14" s="9">
        <f t="shared" si="5"/>
        <v>0.11</v>
      </c>
      <c r="J14" s="10"/>
      <c r="K14" s="23" t="s">
        <v>13</v>
      </c>
      <c r="L14" s="24">
        <f ca="1">_xll.RiskOutput("Price")+SUM(K4:K13)+L13</f>
        <v>73.400730260797616</v>
      </c>
    </row>
    <row r="15" spans="2:12" x14ac:dyDescent="0.25">
      <c r="B15" s="53"/>
      <c r="C15" s="7">
        <v>12</v>
      </c>
      <c r="D15" s="7">
        <v>0.06</v>
      </c>
      <c r="E15" s="7">
        <f t="shared" ca="1" si="1"/>
        <v>20.165347506402988</v>
      </c>
      <c r="F15" s="7">
        <v>0.6</v>
      </c>
      <c r="G15" s="8">
        <f t="shared" ca="1" si="3"/>
        <v>12.099208503841792</v>
      </c>
      <c r="H15" s="7">
        <v>1</v>
      </c>
      <c r="I15" s="9">
        <f t="shared" si="5"/>
        <v>0.11</v>
      </c>
      <c r="J15" s="10"/>
      <c r="K15" s="7"/>
      <c r="L15" s="7"/>
    </row>
    <row r="16" spans="2:12" ht="14.45" x14ac:dyDescent="0.3">
      <c r="B16" s="2"/>
      <c r="C16" s="7">
        <v>13</v>
      </c>
      <c r="D16" s="7">
        <v>0.06</v>
      </c>
      <c r="E16" s="7">
        <f t="shared" ca="1" si="1"/>
        <v>21.375268356787167</v>
      </c>
      <c r="F16" s="7">
        <v>0.6</v>
      </c>
      <c r="G16" s="8">
        <f t="shared" ca="1" si="3"/>
        <v>12.8251610140723</v>
      </c>
      <c r="H16" s="7">
        <v>1</v>
      </c>
      <c r="I16" s="9">
        <f t="shared" si="5"/>
        <v>0.11</v>
      </c>
    </row>
    <row r="17" spans="2:12" ht="14.45" x14ac:dyDescent="0.3">
      <c r="B17" s="2"/>
      <c r="C17" s="7">
        <v>14</v>
      </c>
      <c r="D17" s="7">
        <v>0.06</v>
      </c>
      <c r="E17" s="7">
        <f t="shared" ca="1" si="1"/>
        <v>22.657784458194399</v>
      </c>
      <c r="F17" s="7">
        <v>0.6</v>
      </c>
      <c r="G17" s="8">
        <f t="shared" ca="1" si="3"/>
        <v>13.594670674916639</v>
      </c>
      <c r="H17" s="7">
        <v>1</v>
      </c>
      <c r="I17" s="9">
        <f t="shared" si="5"/>
        <v>0.11</v>
      </c>
    </row>
    <row r="18" spans="2:12" ht="14.45" x14ac:dyDescent="0.3">
      <c r="B18" s="2"/>
      <c r="C18" s="7">
        <v>15</v>
      </c>
      <c r="D18" s="7">
        <v>0.06</v>
      </c>
      <c r="E18" s="7">
        <f t="shared" ca="1" si="1"/>
        <v>24.017251525686063</v>
      </c>
      <c r="F18" s="7">
        <v>0.6</v>
      </c>
      <c r="G18" s="8">
        <f t="shared" ca="1" si="3"/>
        <v>14.410350915411637</v>
      </c>
      <c r="H18" s="7">
        <v>1</v>
      </c>
      <c r="I18" s="9">
        <f t="shared" si="5"/>
        <v>0.11</v>
      </c>
    </row>
    <row r="19" spans="2:12" ht="14.45" x14ac:dyDescent="0.3">
      <c r="B19" s="2"/>
      <c r="C19" s="7">
        <v>16</v>
      </c>
      <c r="D19" s="7">
        <v>0.06</v>
      </c>
      <c r="E19" s="7">
        <f t="shared" ca="1" si="1"/>
        <v>25.458286617227227</v>
      </c>
      <c r="F19" s="7">
        <v>0.6</v>
      </c>
      <c r="G19" s="8">
        <f t="shared" ca="1" si="3"/>
        <v>15.274971970336335</v>
      </c>
      <c r="H19" s="7">
        <v>1</v>
      </c>
      <c r="I19" s="9">
        <f t="shared" si="5"/>
        <v>0.11</v>
      </c>
    </row>
    <row r="20" spans="2:12" ht="14.45" x14ac:dyDescent="0.3">
      <c r="B20" s="2"/>
      <c r="C20" s="7">
        <v>17</v>
      </c>
      <c r="D20" s="7">
        <v>0.06</v>
      </c>
      <c r="E20" s="7">
        <f t="shared" ca="1" si="1"/>
        <v>26.985783814260863</v>
      </c>
      <c r="F20" s="7">
        <v>0.6</v>
      </c>
      <c r="G20" s="8">
        <f t="shared" ca="1" si="3"/>
        <v>16.191470288556516</v>
      </c>
      <c r="H20" s="7">
        <v>1</v>
      </c>
      <c r="I20" s="9">
        <f t="shared" si="5"/>
        <v>0.11</v>
      </c>
    </row>
    <row r="21" spans="2:12" ht="14.45" x14ac:dyDescent="0.3">
      <c r="B21" s="2"/>
      <c r="C21" s="7">
        <v>18</v>
      </c>
      <c r="D21" s="7">
        <v>0.06</v>
      </c>
      <c r="E21" s="7">
        <f t="shared" ca="1" si="1"/>
        <v>28.604930843116517</v>
      </c>
      <c r="F21" s="7">
        <v>0.6</v>
      </c>
      <c r="G21" s="8">
        <f t="shared" ca="1" si="3"/>
        <v>17.162958505869909</v>
      </c>
      <c r="H21" s="7">
        <v>1</v>
      </c>
      <c r="I21" s="9">
        <f t="shared" si="5"/>
        <v>0.11</v>
      </c>
    </row>
    <row r="22" spans="2:12" ht="14.45" x14ac:dyDescent="0.3">
      <c r="B22" s="2"/>
      <c r="C22" s="7">
        <v>19</v>
      </c>
      <c r="D22" s="7">
        <v>0.06</v>
      </c>
      <c r="E22" s="7">
        <f t="shared" ca="1" si="1"/>
        <v>30.321226693703508</v>
      </c>
      <c r="F22" s="7">
        <v>0.6</v>
      </c>
      <c r="G22" s="8">
        <f t="shared" ca="1" si="3"/>
        <v>18.192736016222103</v>
      </c>
      <c r="H22" s="7">
        <v>1</v>
      </c>
      <c r="I22" s="9">
        <f t="shared" si="5"/>
        <v>0.11</v>
      </c>
    </row>
    <row r="23" spans="2:12" ht="14.45" x14ac:dyDescent="0.3">
      <c r="B23" s="2"/>
      <c r="C23" s="7">
        <v>20</v>
      </c>
      <c r="D23" s="7">
        <v>0.06</v>
      </c>
      <c r="E23" s="7">
        <f t="shared" ca="1" si="1"/>
        <v>32.140500295325722</v>
      </c>
      <c r="F23" s="7">
        <v>0.6</v>
      </c>
      <c r="G23" s="8">
        <f t="shared" ca="1" si="3"/>
        <v>19.284300177195433</v>
      </c>
      <c r="H23" s="7">
        <v>1</v>
      </c>
      <c r="I23" s="9">
        <f t="shared" si="5"/>
        <v>0.11</v>
      </c>
    </row>
    <row r="24" spans="2:12" ht="14.45" x14ac:dyDescent="0.3">
      <c r="B24" s="2"/>
      <c r="C24" s="7">
        <v>21</v>
      </c>
      <c r="D24" s="7">
        <v>0.06</v>
      </c>
      <c r="E24" s="7">
        <f t="shared" ca="1" si="1"/>
        <v>34.068930313045264</v>
      </c>
      <c r="F24" s="7">
        <v>0.6</v>
      </c>
      <c r="G24" s="8">
        <f t="shared" ca="1" si="3"/>
        <v>20.441358187827159</v>
      </c>
      <c r="H24" s="7">
        <v>1</v>
      </c>
      <c r="I24" s="9">
        <f t="shared" si="5"/>
        <v>0.11</v>
      </c>
    </row>
    <row r="25" spans="2:12" ht="14.45" x14ac:dyDescent="0.3">
      <c r="B25" s="2"/>
      <c r="C25" s="7">
        <v>22</v>
      </c>
      <c r="D25" s="7">
        <v>0.06</v>
      </c>
      <c r="E25" s="7">
        <f t="shared" ca="1" si="1"/>
        <v>36.113066131827985</v>
      </c>
      <c r="F25" s="7">
        <v>0.6</v>
      </c>
      <c r="G25" s="8">
        <f t="shared" ca="1" si="3"/>
        <v>21.66783967909679</v>
      </c>
      <c r="H25" s="7">
        <v>1</v>
      </c>
      <c r="I25" s="9">
        <f t="shared" si="5"/>
        <v>0.11</v>
      </c>
    </row>
    <row r="26" spans="2:12" ht="14.45" x14ac:dyDescent="0.3">
      <c r="B26" s="2"/>
      <c r="C26" s="7">
        <v>23</v>
      </c>
      <c r="D26" s="7">
        <v>0.06</v>
      </c>
      <c r="E26" s="7">
        <f t="shared" ca="1" si="1"/>
        <v>38.279850099737665</v>
      </c>
      <c r="F26" s="7">
        <v>0.6</v>
      </c>
      <c r="G26" s="8">
        <f t="shared" ca="1" si="3"/>
        <v>22.967910059842598</v>
      </c>
      <c r="H26" s="7">
        <v>1</v>
      </c>
      <c r="I26" s="9">
        <f t="shared" si="5"/>
        <v>0.11</v>
      </c>
    </row>
    <row r="27" spans="2:12" ht="14.45" x14ac:dyDescent="0.3">
      <c r="B27" s="32"/>
      <c r="C27" s="15">
        <v>24</v>
      </c>
      <c r="D27" s="15">
        <v>0.06</v>
      </c>
      <c r="E27" s="15">
        <f t="shared" ca="1" si="1"/>
        <v>40.576641105721926</v>
      </c>
      <c r="F27" s="15">
        <v>0.6</v>
      </c>
      <c r="G27" s="16">
        <f t="shared" ca="1" si="3"/>
        <v>24.345984663433153</v>
      </c>
      <c r="H27" s="7">
        <v>1</v>
      </c>
      <c r="I27" s="9">
        <f t="shared" si="5"/>
        <v>0.11</v>
      </c>
      <c r="J27" s="5"/>
      <c r="K27" s="6"/>
      <c r="L27" s="6"/>
    </row>
    <row r="28" spans="2:12" thickBot="1" x14ac:dyDescent="0.35">
      <c r="B28" s="28"/>
      <c r="C28" s="28"/>
      <c r="D28" s="28"/>
      <c r="E28" s="28"/>
      <c r="F28" s="28"/>
      <c r="G28" s="29"/>
      <c r="H28" s="28"/>
      <c r="I28" s="30"/>
      <c r="J28" s="27"/>
      <c r="K28" s="28"/>
      <c r="L28" s="28"/>
    </row>
    <row r="29" spans="2:12" thickTop="1" x14ac:dyDescent="0.3"/>
  </sheetData>
  <mergeCells count="3">
    <mergeCell ref="B4:B8"/>
    <mergeCell ref="B9:B13"/>
    <mergeCell ref="B14:B15"/>
  </mergeCells>
  <conditionalFormatting sqref="L14">
    <cfRule type="expression" dxfId="1" priority="1" stopIfTrue="1">
      <formula>RiskIsOutput</formula>
    </cfRule>
  </conditionalFormatting>
  <conditionalFormatting sqref="D3 F3 H3">
    <cfRule type="expression" dxfId="0" priority="2" stopIfTrue="1">
      <formula>RiskIsInput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M33"/>
  <sheetViews>
    <sheetView tabSelected="1" topLeftCell="A2" workbookViewId="0">
      <selection activeCell="A2" sqref="A2"/>
    </sheetView>
  </sheetViews>
  <sheetFormatPr defaultRowHeight="15" x14ac:dyDescent="0.25"/>
  <cols>
    <col min="2" max="2" width="11.140625" style="1" customWidth="1"/>
    <col min="3" max="5" width="9.140625" style="1"/>
    <col min="6" max="6" width="11.28515625" style="1" bestFit="1" customWidth="1"/>
    <col min="7" max="7" width="9.140625" style="3"/>
    <col min="8" max="8" width="9.140625" style="1"/>
    <col min="9" max="9" width="6" style="4" bestFit="1" customWidth="1"/>
    <col min="10" max="10" width="9.7109375" customWidth="1"/>
    <col min="11" max="11" width="9.140625" style="1" customWidth="1"/>
    <col min="12" max="12" width="10.7109375" style="1" customWidth="1"/>
  </cols>
  <sheetData>
    <row r="1" spans="2:13" thickBot="1" x14ac:dyDescent="0.35">
      <c r="B1" s="28"/>
      <c r="C1" s="28"/>
      <c r="D1" s="28"/>
      <c r="E1" s="28"/>
      <c r="F1" s="28"/>
      <c r="G1" s="29"/>
      <c r="H1" s="28"/>
      <c r="I1" s="30"/>
      <c r="J1" s="27"/>
      <c r="K1" s="28"/>
      <c r="L1" s="28"/>
    </row>
    <row r="2" spans="2:13" ht="30" thickTop="1" thickBot="1" x14ac:dyDescent="0.35">
      <c r="B2" s="31"/>
      <c r="C2" s="26" t="s">
        <v>0</v>
      </c>
      <c r="D2" s="26" t="s">
        <v>1</v>
      </c>
      <c r="E2" s="26" t="s">
        <v>2</v>
      </c>
      <c r="F2" s="26" t="s">
        <v>5</v>
      </c>
      <c r="G2" s="26" t="s">
        <v>6</v>
      </c>
      <c r="H2" s="26" t="s">
        <v>3</v>
      </c>
      <c r="I2" s="26" t="s">
        <v>4</v>
      </c>
      <c r="J2" s="26" t="s">
        <v>7</v>
      </c>
      <c r="K2" s="26" t="s">
        <v>8</v>
      </c>
      <c r="L2" s="26" t="s">
        <v>9</v>
      </c>
    </row>
    <row r="3" spans="2:13" thickTop="1" x14ac:dyDescent="0.3">
      <c r="B3" s="7"/>
      <c r="C3" s="7">
        <v>0</v>
      </c>
      <c r="D3" s="7">
        <f>M10/100</f>
        <v>0.33</v>
      </c>
      <c r="E3" s="7">
        <v>1.5</v>
      </c>
      <c r="F3" s="7"/>
      <c r="G3" s="8"/>
      <c r="H3" s="7">
        <v>1.6</v>
      </c>
      <c r="I3" s="9"/>
      <c r="J3" s="10"/>
      <c r="K3" s="7"/>
      <c r="L3" s="7"/>
    </row>
    <row r="4" spans="2:13" x14ac:dyDescent="0.25">
      <c r="B4" s="46" t="s">
        <v>10</v>
      </c>
      <c r="C4" s="12">
        <v>1</v>
      </c>
      <c r="D4" s="11">
        <f>D3</f>
        <v>0.33</v>
      </c>
      <c r="E4" s="11">
        <f>E3*(1+D4)</f>
        <v>1.9950000000000001</v>
      </c>
      <c r="F4" s="11">
        <v>0.12</v>
      </c>
      <c r="G4" s="12">
        <f>E4*F4</f>
        <v>0.2394</v>
      </c>
      <c r="H4" s="11">
        <f>H3</f>
        <v>1.6</v>
      </c>
      <c r="I4" s="13">
        <f>0.05+H4*0.06</f>
        <v>0.14600000000000002</v>
      </c>
      <c r="J4" s="14"/>
      <c r="K4" s="11">
        <f>G4/(1+I4)^C4</f>
        <v>0.20890052356020944</v>
      </c>
      <c r="L4" s="7"/>
    </row>
    <row r="5" spans="2:13" x14ac:dyDescent="0.25">
      <c r="B5" s="47"/>
      <c r="C5" s="16">
        <v>2</v>
      </c>
      <c r="D5" s="15">
        <f t="shared" ref="D5:D8" si="0">D4</f>
        <v>0.33</v>
      </c>
      <c r="E5" s="15">
        <f t="shared" ref="E5:E27" si="1">E4*(1+D5)</f>
        <v>2.6533500000000001</v>
      </c>
      <c r="F5" s="15">
        <v>0.12</v>
      </c>
      <c r="G5" s="16">
        <f t="shared" ref="G5:G27" si="2">E5*F5</f>
        <v>0.31840200000000002</v>
      </c>
      <c r="H5" s="15">
        <f t="shared" ref="H5:H8" si="3">H4</f>
        <v>1.6</v>
      </c>
      <c r="I5" s="17">
        <f t="shared" ref="I5:I27" si="4">0.05+H5*0.06</f>
        <v>0.14600000000000002</v>
      </c>
      <c r="J5" s="18"/>
      <c r="K5" s="15">
        <f t="shared" ref="K5:K8" si="5">G5/(1+I5)^C5</f>
        <v>0.24244127079849792</v>
      </c>
      <c r="L5" s="7"/>
    </row>
    <row r="6" spans="2:13" x14ac:dyDescent="0.25">
      <c r="B6" s="47"/>
      <c r="C6" s="16">
        <v>3</v>
      </c>
      <c r="D6" s="15">
        <f t="shared" si="0"/>
        <v>0.33</v>
      </c>
      <c r="E6" s="15">
        <f t="shared" si="1"/>
        <v>3.5289555000000004</v>
      </c>
      <c r="F6" s="15">
        <v>0.12</v>
      </c>
      <c r="G6" s="16">
        <f t="shared" si="2"/>
        <v>0.42347466</v>
      </c>
      <c r="H6" s="15">
        <f t="shared" si="3"/>
        <v>1.6</v>
      </c>
      <c r="I6" s="17">
        <f t="shared" si="4"/>
        <v>0.14600000000000002</v>
      </c>
      <c r="J6" s="18"/>
      <c r="K6" s="15">
        <f t="shared" si="5"/>
        <v>0.28136726890227071</v>
      </c>
      <c r="L6" s="7"/>
    </row>
    <row r="7" spans="2:13" x14ac:dyDescent="0.25">
      <c r="B7" s="47"/>
      <c r="C7" s="16">
        <v>4</v>
      </c>
      <c r="D7" s="15">
        <f t="shared" si="0"/>
        <v>0.33</v>
      </c>
      <c r="E7" s="15">
        <f t="shared" si="1"/>
        <v>4.6935108150000007</v>
      </c>
      <c r="F7" s="15">
        <v>0.12</v>
      </c>
      <c r="G7" s="16">
        <f t="shared" si="2"/>
        <v>0.56322129780000008</v>
      </c>
      <c r="H7" s="15">
        <f t="shared" si="3"/>
        <v>1.6</v>
      </c>
      <c r="I7" s="17">
        <f t="shared" si="4"/>
        <v>0.14600000000000002</v>
      </c>
      <c r="J7" s="18"/>
      <c r="K7" s="15">
        <f t="shared" si="5"/>
        <v>0.32654316547994777</v>
      </c>
      <c r="L7" s="7"/>
    </row>
    <row r="8" spans="2:13" x14ac:dyDescent="0.25">
      <c r="B8" s="48"/>
      <c r="C8" s="20">
        <v>5</v>
      </c>
      <c r="D8" s="15">
        <f t="shared" si="0"/>
        <v>0.33</v>
      </c>
      <c r="E8" s="19">
        <f t="shared" si="1"/>
        <v>6.2423693839500016</v>
      </c>
      <c r="F8" s="19">
        <v>0.12</v>
      </c>
      <c r="G8" s="20">
        <f t="shared" si="2"/>
        <v>0.74908432607400022</v>
      </c>
      <c r="H8" s="15">
        <f t="shared" si="3"/>
        <v>1.6</v>
      </c>
      <c r="I8" s="21">
        <f t="shared" si="4"/>
        <v>0.14600000000000002</v>
      </c>
      <c r="J8" s="22"/>
      <c r="K8" s="19">
        <f t="shared" si="5"/>
        <v>0.37897243463205116</v>
      </c>
      <c r="L8" s="7"/>
    </row>
    <row r="9" spans="2:13" ht="15.75" thickBot="1" x14ac:dyDescent="0.3">
      <c r="B9" s="49" t="s">
        <v>11</v>
      </c>
      <c r="C9" s="12">
        <v>6</v>
      </c>
      <c r="D9" s="11">
        <f>D8-($D$3-0.06)/6</f>
        <v>0.28500000000000003</v>
      </c>
      <c r="E9" s="11">
        <f t="shared" si="1"/>
        <v>8.0214446583757528</v>
      </c>
      <c r="F9" s="11">
        <f>F8+(0.6-0.12)/6</f>
        <v>0.2</v>
      </c>
      <c r="G9" s="12">
        <f t="shared" si="2"/>
        <v>1.6042889316751507</v>
      </c>
      <c r="H9" s="11">
        <f>H8-($H$3-1)/6</f>
        <v>1.5</v>
      </c>
      <c r="I9" s="13">
        <f t="shared" si="4"/>
        <v>0.14000000000000001</v>
      </c>
      <c r="J9" s="14"/>
      <c r="K9" s="11">
        <f>G9/((1+0.146)^5*(1+0.14))</f>
        <v>0.71195844810261077</v>
      </c>
      <c r="L9" s="7"/>
    </row>
    <row r="10" spans="2:13" ht="15.75" thickBot="1" x14ac:dyDescent="0.3">
      <c r="B10" s="50"/>
      <c r="C10" s="16">
        <v>7</v>
      </c>
      <c r="D10" s="15">
        <f>D9-($D$3-0.06)/6</f>
        <v>0.24000000000000002</v>
      </c>
      <c r="E10" s="15">
        <f t="shared" si="1"/>
        <v>9.9465913763859337</v>
      </c>
      <c r="F10" s="15">
        <f t="shared" ref="F10:F13" si="6">F9+(0.6-0.12)/6</f>
        <v>0.28000000000000003</v>
      </c>
      <c r="G10" s="16">
        <f t="shared" si="2"/>
        <v>2.7850455853880618</v>
      </c>
      <c r="H10" s="15">
        <f>H9-($H$3-1)/6</f>
        <v>1.4</v>
      </c>
      <c r="I10" s="17">
        <f t="shared" si="4"/>
        <v>0.13400000000000001</v>
      </c>
      <c r="J10" s="18"/>
      <c r="K10" s="15">
        <f>G10/((1+0.146)^5*(1+0.14)*(1+0.134))</f>
        <v>1.0899116983299226</v>
      </c>
      <c r="L10" s="7"/>
      <c r="M10" s="57">
        <v>33</v>
      </c>
    </row>
    <row r="11" spans="2:13" x14ac:dyDescent="0.25">
      <c r="B11" s="50"/>
      <c r="C11" s="16">
        <v>8</v>
      </c>
      <c r="D11" s="15">
        <f>D10-($D$3-0.06)/6</f>
        <v>0.19500000000000001</v>
      </c>
      <c r="E11" s="15">
        <f t="shared" si="1"/>
        <v>11.886176694781192</v>
      </c>
      <c r="F11" s="15">
        <f t="shared" si="6"/>
        <v>0.36000000000000004</v>
      </c>
      <c r="G11" s="16">
        <f t="shared" si="2"/>
        <v>4.2790236101212296</v>
      </c>
      <c r="H11" s="15">
        <f>H10-($H$3-1)/6</f>
        <v>1.2999999999999998</v>
      </c>
      <c r="I11" s="17">
        <f t="shared" si="4"/>
        <v>0.128</v>
      </c>
      <c r="J11" s="18"/>
      <c r="K11" s="15">
        <f>G11/((1+0.146)^5*(1+0.14)*(1+0.134)*(1+0.128))</f>
        <v>1.484549178766251</v>
      </c>
      <c r="L11" s="7"/>
    </row>
    <row r="12" spans="2:13" x14ac:dyDescent="0.25">
      <c r="B12" s="50"/>
      <c r="C12" s="16">
        <v>9</v>
      </c>
      <c r="D12" s="15">
        <f>D11-($D$3-0.06)/6</f>
        <v>0.15</v>
      </c>
      <c r="E12" s="15">
        <f t="shared" si="1"/>
        <v>13.66910319899837</v>
      </c>
      <c r="F12" s="15">
        <f t="shared" si="6"/>
        <v>0.44000000000000006</v>
      </c>
      <c r="G12" s="16">
        <f t="shared" si="2"/>
        <v>6.0144054075592832</v>
      </c>
      <c r="H12" s="15">
        <f>H11-(H3-1)/6</f>
        <v>1.1999999999999997</v>
      </c>
      <c r="I12" s="17">
        <f t="shared" si="4"/>
        <v>0.12199999999999998</v>
      </c>
      <c r="J12" s="18"/>
      <c r="K12" s="15">
        <f>G12/((1+0.146)^5*(1+0.14)*(1+0.134)*(1+0.128)*(1+0.122))</f>
        <v>1.8597293633782013</v>
      </c>
      <c r="L12" s="7"/>
    </row>
    <row r="13" spans="2:13" x14ac:dyDescent="0.25">
      <c r="B13" s="51"/>
      <c r="C13" s="20">
        <v>10</v>
      </c>
      <c r="D13" s="19">
        <f>D12-($D$3-0.06)/6</f>
        <v>0.10499999999999998</v>
      </c>
      <c r="E13" s="19">
        <f t="shared" si="1"/>
        <v>15.104359034893198</v>
      </c>
      <c r="F13" s="19">
        <f t="shared" si="6"/>
        <v>0.52</v>
      </c>
      <c r="G13" s="20">
        <f t="shared" si="2"/>
        <v>7.8542666981444631</v>
      </c>
      <c r="H13" s="19">
        <f>H12-($H$3-1)/6</f>
        <v>1.0999999999999996</v>
      </c>
      <c r="I13" s="21">
        <f t="shared" si="4"/>
        <v>0.11599999999999998</v>
      </c>
      <c r="J13" s="22">
        <f>G14/(0.11-0.06)</f>
        <v>192.12744692384149</v>
      </c>
      <c r="K13" s="15">
        <f>G13/((1+0.146)^5*(1+0.14)*(1+0.134)*(1+0.128)*(1+0.122)*(1+0.116))</f>
        <v>2.1761984608119791</v>
      </c>
      <c r="L13" s="7">
        <f>J13/((1+0.146)^5*(1+0.14)*(1+0.134)*(1+0.128)*(1+0.122)*(1+0.116))</f>
        <v>53.233162349093028</v>
      </c>
    </row>
    <row r="14" spans="2:13" x14ac:dyDescent="0.25">
      <c r="B14" s="52" t="s">
        <v>12</v>
      </c>
      <c r="C14" s="7">
        <v>11</v>
      </c>
      <c r="D14" s="7">
        <v>0.06</v>
      </c>
      <c r="E14" s="7">
        <f t="shared" si="1"/>
        <v>16.010620576986792</v>
      </c>
      <c r="F14" s="7">
        <v>0.6</v>
      </c>
      <c r="G14" s="8">
        <f t="shared" si="2"/>
        <v>9.6063723461920745</v>
      </c>
      <c r="H14" s="7">
        <v>1</v>
      </c>
      <c r="I14" s="9">
        <f t="shared" si="4"/>
        <v>0.11</v>
      </c>
      <c r="J14" s="10"/>
      <c r="K14" s="23" t="s">
        <v>13</v>
      </c>
      <c r="L14" s="24">
        <f>SUM(K4:K13)+L13</f>
        <v>61.993734161854974</v>
      </c>
    </row>
    <row r="15" spans="2:13" x14ac:dyDescent="0.25">
      <c r="B15" s="53"/>
      <c r="C15" s="7">
        <v>12</v>
      </c>
      <c r="D15" s="7">
        <v>0.06</v>
      </c>
      <c r="E15" s="7">
        <f t="shared" si="1"/>
        <v>16.971257811606002</v>
      </c>
      <c r="F15" s="7">
        <v>0.6</v>
      </c>
      <c r="G15" s="8">
        <f t="shared" si="2"/>
        <v>10.1827546869636</v>
      </c>
      <c r="H15" s="7">
        <v>1</v>
      </c>
      <c r="I15" s="9">
        <f t="shared" si="4"/>
        <v>0.11</v>
      </c>
      <c r="J15" s="10"/>
      <c r="K15" s="7"/>
      <c r="L15" s="7"/>
    </row>
    <row r="16" spans="2:13" ht="14.45" x14ac:dyDescent="0.3">
      <c r="B16" s="2"/>
      <c r="C16" s="7">
        <v>13</v>
      </c>
      <c r="D16" s="7">
        <v>0.06</v>
      </c>
      <c r="E16" s="7">
        <f t="shared" si="1"/>
        <v>17.989533280302364</v>
      </c>
      <c r="F16" s="7">
        <v>0.6</v>
      </c>
      <c r="G16" s="8">
        <f t="shared" si="2"/>
        <v>10.793719968181419</v>
      </c>
      <c r="H16" s="7">
        <v>1</v>
      </c>
      <c r="I16" s="9">
        <f t="shared" si="4"/>
        <v>0.11</v>
      </c>
    </row>
    <row r="17" spans="2:12" ht="14.45" x14ac:dyDescent="0.3">
      <c r="B17" s="2"/>
      <c r="C17" s="7">
        <v>14</v>
      </c>
      <c r="D17" s="7">
        <v>0.06</v>
      </c>
      <c r="E17" s="7">
        <f t="shared" si="1"/>
        <v>19.068905277120507</v>
      </c>
      <c r="F17" s="7">
        <v>0.6</v>
      </c>
      <c r="G17" s="8">
        <f t="shared" si="2"/>
        <v>11.441343166272304</v>
      </c>
      <c r="H17" s="7">
        <v>1</v>
      </c>
      <c r="I17" s="9">
        <f t="shared" si="4"/>
        <v>0.11</v>
      </c>
    </row>
    <row r="18" spans="2:12" ht="14.45" x14ac:dyDescent="0.3">
      <c r="B18" s="2"/>
      <c r="C18" s="7">
        <v>15</v>
      </c>
      <c r="D18" s="7">
        <v>0.06</v>
      </c>
      <c r="E18" s="7">
        <f t="shared" si="1"/>
        <v>20.213039593747737</v>
      </c>
      <c r="F18" s="7">
        <v>0.6</v>
      </c>
      <c r="G18" s="8">
        <f t="shared" si="2"/>
        <v>12.127823756248642</v>
      </c>
      <c r="H18" s="7">
        <v>1</v>
      </c>
      <c r="I18" s="9">
        <f t="shared" si="4"/>
        <v>0.11</v>
      </c>
    </row>
    <row r="19" spans="2:12" ht="14.45" x14ac:dyDescent="0.3">
      <c r="B19" s="2"/>
      <c r="C19" s="7">
        <v>16</v>
      </c>
      <c r="D19" s="7">
        <v>0.06</v>
      </c>
      <c r="E19" s="7">
        <f t="shared" si="1"/>
        <v>21.425821969372603</v>
      </c>
      <c r="F19" s="7">
        <v>0.6</v>
      </c>
      <c r="G19" s="8">
        <f t="shared" si="2"/>
        <v>12.855493181623562</v>
      </c>
      <c r="H19" s="7">
        <v>1</v>
      </c>
      <c r="I19" s="9">
        <f t="shared" si="4"/>
        <v>0.11</v>
      </c>
    </row>
    <row r="20" spans="2:12" ht="14.45" x14ac:dyDescent="0.3">
      <c r="B20" s="2"/>
      <c r="C20" s="7">
        <v>17</v>
      </c>
      <c r="D20" s="7">
        <v>0.06</v>
      </c>
      <c r="E20" s="7">
        <f t="shared" si="1"/>
        <v>22.711371287534959</v>
      </c>
      <c r="F20" s="7">
        <v>0.6</v>
      </c>
      <c r="G20" s="8">
        <f t="shared" si="2"/>
        <v>13.626822772520976</v>
      </c>
      <c r="H20" s="7">
        <v>1</v>
      </c>
      <c r="I20" s="9">
        <f t="shared" si="4"/>
        <v>0.11</v>
      </c>
    </row>
    <row r="21" spans="2:12" ht="14.45" x14ac:dyDescent="0.3">
      <c r="B21" s="2"/>
      <c r="C21" s="7">
        <v>18</v>
      </c>
      <c r="D21" s="7">
        <v>0.06</v>
      </c>
      <c r="E21" s="7">
        <f t="shared" si="1"/>
        <v>24.074053564787057</v>
      </c>
      <c r="F21" s="7">
        <v>0.6</v>
      </c>
      <c r="G21" s="8">
        <f t="shared" si="2"/>
        <v>14.444432138872234</v>
      </c>
      <c r="H21" s="7">
        <v>1</v>
      </c>
      <c r="I21" s="9">
        <f t="shared" si="4"/>
        <v>0.11</v>
      </c>
    </row>
    <row r="22" spans="2:12" ht="14.45" x14ac:dyDescent="0.3">
      <c r="B22" s="2"/>
      <c r="C22" s="7">
        <v>19</v>
      </c>
      <c r="D22" s="7">
        <v>0.06</v>
      </c>
      <c r="E22" s="7">
        <f t="shared" si="1"/>
        <v>25.518496778674283</v>
      </c>
      <c r="F22" s="7">
        <v>0.6</v>
      </c>
      <c r="G22" s="8">
        <f t="shared" si="2"/>
        <v>15.311098067204568</v>
      </c>
      <c r="H22" s="7">
        <v>1</v>
      </c>
      <c r="I22" s="9">
        <f t="shared" si="4"/>
        <v>0.11</v>
      </c>
    </row>
    <row r="23" spans="2:12" ht="14.45" x14ac:dyDescent="0.3">
      <c r="B23" s="2"/>
      <c r="C23" s="7">
        <v>20</v>
      </c>
      <c r="D23" s="7">
        <v>0.06</v>
      </c>
      <c r="E23" s="7">
        <f t="shared" si="1"/>
        <v>27.049606585394741</v>
      </c>
      <c r="F23" s="7">
        <v>0.6</v>
      </c>
      <c r="G23" s="8">
        <f t="shared" si="2"/>
        <v>16.229763951236844</v>
      </c>
      <c r="H23" s="7">
        <v>1</v>
      </c>
      <c r="I23" s="9">
        <f t="shared" si="4"/>
        <v>0.11</v>
      </c>
    </row>
    <row r="24" spans="2:12" ht="14.45" x14ac:dyDescent="0.3">
      <c r="B24" s="2"/>
      <c r="C24" s="7">
        <v>21</v>
      </c>
      <c r="D24" s="7">
        <v>0.06</v>
      </c>
      <c r="E24" s="7">
        <f t="shared" si="1"/>
        <v>28.672582980518428</v>
      </c>
      <c r="F24" s="7">
        <v>0.6</v>
      </c>
      <c r="G24" s="8">
        <f t="shared" si="2"/>
        <v>17.203549788311054</v>
      </c>
      <c r="H24" s="7">
        <v>1</v>
      </c>
      <c r="I24" s="9">
        <f t="shared" si="4"/>
        <v>0.11</v>
      </c>
    </row>
    <row r="25" spans="2:12" ht="14.45" x14ac:dyDescent="0.3">
      <c r="B25" s="2"/>
      <c r="C25" s="7">
        <v>22</v>
      </c>
      <c r="D25" s="7">
        <v>0.06</v>
      </c>
      <c r="E25" s="7">
        <f t="shared" si="1"/>
        <v>30.392937959349535</v>
      </c>
      <c r="F25" s="7">
        <v>0.6</v>
      </c>
      <c r="G25" s="8">
        <f t="shared" si="2"/>
        <v>18.235762775609722</v>
      </c>
      <c r="H25" s="7">
        <v>1</v>
      </c>
      <c r="I25" s="9">
        <f t="shared" si="4"/>
        <v>0.11</v>
      </c>
    </row>
    <row r="26" spans="2:12" ht="14.45" x14ac:dyDescent="0.3">
      <c r="B26" s="2"/>
      <c r="C26" s="7">
        <v>23</v>
      </c>
      <c r="D26" s="7">
        <v>0.06</v>
      </c>
      <c r="E26" s="7">
        <f t="shared" si="1"/>
        <v>32.216514236910506</v>
      </c>
      <c r="F26" s="7">
        <v>0.6</v>
      </c>
      <c r="G26" s="8">
        <f t="shared" si="2"/>
        <v>19.329908542146303</v>
      </c>
      <c r="H26" s="7">
        <v>1</v>
      </c>
      <c r="I26" s="9">
        <f t="shared" si="4"/>
        <v>0.11</v>
      </c>
    </row>
    <row r="27" spans="2:12" ht="14.45" x14ac:dyDescent="0.3">
      <c r="B27" s="32"/>
      <c r="C27" s="15">
        <v>24</v>
      </c>
      <c r="D27" s="15">
        <v>0.06</v>
      </c>
      <c r="E27" s="15">
        <f t="shared" si="1"/>
        <v>34.149505091125135</v>
      </c>
      <c r="F27" s="15">
        <v>0.6</v>
      </c>
      <c r="G27" s="16">
        <f t="shared" si="2"/>
        <v>20.489703054675079</v>
      </c>
      <c r="H27" s="7">
        <v>1</v>
      </c>
      <c r="I27" s="9">
        <f t="shared" si="4"/>
        <v>0.11</v>
      </c>
      <c r="J27" s="5"/>
      <c r="K27" s="6"/>
      <c r="L27" s="6"/>
    </row>
    <row r="28" spans="2:12" thickBot="1" x14ac:dyDescent="0.35">
      <c r="B28" s="28"/>
      <c r="C28" s="28"/>
      <c r="D28" s="28"/>
      <c r="E28" s="28"/>
      <c r="F28" s="28"/>
      <c r="G28" s="29"/>
      <c r="H28" s="28"/>
      <c r="I28" s="30"/>
      <c r="J28" s="27"/>
      <c r="K28" s="28"/>
      <c r="L28" s="28"/>
    </row>
    <row r="29" spans="2:12" thickTop="1" x14ac:dyDescent="0.3"/>
    <row r="33" customFormat="1" ht="14.45" x14ac:dyDescent="0.3"/>
  </sheetData>
  <mergeCells count="3">
    <mergeCell ref="B4:B8"/>
    <mergeCell ref="B9:B13"/>
    <mergeCell ref="B14:B15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Spinner 1">
              <controlPr defaultSize="0" autoPict="0">
                <anchor moveWithCells="1" sizeWithCells="1">
                  <from>
                    <xdr:col>11</xdr:col>
                    <xdr:colOff>142875</xdr:colOff>
                    <xdr:row>8</xdr:row>
                    <xdr:rowOff>9525</xdr:rowOff>
                  </from>
                  <to>
                    <xdr:col>11</xdr:col>
                    <xdr:colOff>704850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T33"/>
  <sheetViews>
    <sheetView topLeftCell="B1" workbookViewId="0">
      <selection activeCell="L46" sqref="L46:L47"/>
    </sheetView>
  </sheetViews>
  <sheetFormatPr defaultRowHeight="15" x14ac:dyDescent="0.25"/>
  <cols>
    <col min="2" max="2" width="11.140625" style="1" customWidth="1"/>
    <col min="3" max="5" width="9.140625" style="1"/>
    <col min="6" max="6" width="11.28515625" style="1" bestFit="1" customWidth="1"/>
    <col min="7" max="7" width="9.140625" style="3"/>
    <col min="8" max="8" width="9.140625" style="1"/>
    <col min="9" max="9" width="6" style="4" bestFit="1" customWidth="1"/>
    <col min="10" max="10" width="9.7109375" customWidth="1"/>
    <col min="11" max="11" width="9.140625" style="1" customWidth="1"/>
    <col min="12" max="12" width="10.7109375" style="1" customWidth="1"/>
  </cols>
  <sheetData>
    <row r="1" spans="2:20" ht="15.75" thickBot="1" x14ac:dyDescent="0.3">
      <c r="B1" s="28"/>
      <c r="C1" s="28"/>
      <c r="D1" s="28"/>
      <c r="E1" s="28"/>
      <c r="F1" s="28"/>
      <c r="G1" s="29"/>
      <c r="H1" s="28"/>
      <c r="I1" s="30"/>
      <c r="J1" s="27"/>
      <c r="K1" s="28"/>
      <c r="L1" s="28"/>
    </row>
    <row r="2" spans="2:20" ht="31.5" thickTop="1" thickBot="1" x14ac:dyDescent="0.3">
      <c r="B2" s="31"/>
      <c r="C2" s="26" t="s">
        <v>0</v>
      </c>
      <c r="D2" s="26" t="s">
        <v>1</v>
      </c>
      <c r="E2" s="26" t="s">
        <v>2</v>
      </c>
      <c r="F2" s="26" t="s">
        <v>5</v>
      </c>
      <c r="G2" s="26" t="s">
        <v>6</v>
      </c>
      <c r="H2" s="26" t="s">
        <v>3</v>
      </c>
      <c r="I2" s="26" t="s">
        <v>4</v>
      </c>
      <c r="J2" s="26" t="s">
        <v>7</v>
      </c>
      <c r="K2" s="26" t="s">
        <v>8</v>
      </c>
      <c r="L2" s="26" t="s">
        <v>9</v>
      </c>
    </row>
    <row r="3" spans="2:20" ht="15.75" thickTop="1" x14ac:dyDescent="0.25">
      <c r="B3" s="7"/>
      <c r="C3" s="7">
        <v>0</v>
      </c>
      <c r="D3" s="7">
        <f ca="1">IF(R13=1,O13, IF(R13=2,P13, IF(R13=3,Q13,T13)))</f>
        <v>0.18983158543952497</v>
      </c>
      <c r="E3" s="7">
        <v>1.5</v>
      </c>
      <c r="F3" s="7"/>
      <c r="G3" s="8"/>
      <c r="H3" s="7">
        <v>1.6</v>
      </c>
      <c r="I3" s="9"/>
      <c r="J3" s="10"/>
      <c r="K3" s="7"/>
      <c r="L3" s="7"/>
    </row>
    <row r="4" spans="2:20" x14ac:dyDescent="0.25">
      <c r="B4" s="46" t="s">
        <v>10</v>
      </c>
      <c r="C4" s="12">
        <v>1</v>
      </c>
      <c r="D4" s="11">
        <f ca="1">D3</f>
        <v>0.18983158543952497</v>
      </c>
      <c r="E4" s="11">
        <f ca="1">E3*(1+D4)</f>
        <v>1.7847473781592873</v>
      </c>
      <c r="F4" s="11">
        <v>0.12</v>
      </c>
      <c r="G4" s="12">
        <f ca="1">E4*F4</f>
        <v>0.21416968537911446</v>
      </c>
      <c r="H4" s="11">
        <f>H3</f>
        <v>1.6</v>
      </c>
      <c r="I4" s="13">
        <f>0.05+H4*0.06</f>
        <v>0.14600000000000002</v>
      </c>
      <c r="J4" s="14"/>
      <c r="K4" s="11">
        <f ca="1">G4/(1+I4)^C4</f>
        <v>0.18688454221563219</v>
      </c>
      <c r="L4" s="7"/>
    </row>
    <row r="5" spans="2:20" x14ac:dyDescent="0.25">
      <c r="B5" s="47"/>
      <c r="C5" s="16">
        <v>2</v>
      </c>
      <c r="D5" s="15">
        <f t="shared" ref="D5:D8" ca="1" si="0">D4</f>
        <v>0.18983158543952497</v>
      </c>
      <c r="E5" s="15">
        <f t="shared" ref="E5:E27" ca="1" si="1">E4*(1+D5)</f>
        <v>2.1235488025643003</v>
      </c>
      <c r="F5" s="15">
        <v>0.12</v>
      </c>
      <c r="G5" s="16">
        <f t="shared" ref="G5:G27" ca="1" si="2">E5*F5</f>
        <v>0.25482585630771604</v>
      </c>
      <c r="H5" s="15">
        <f t="shared" ref="H5:H8" si="3">H4</f>
        <v>1.6</v>
      </c>
      <c r="I5" s="17">
        <f t="shared" ref="I5:I27" si="4">0.05+H5*0.06</f>
        <v>0.14600000000000002</v>
      </c>
      <c r="J5" s="18"/>
      <c r="K5" s="15">
        <f t="shared" ref="K5:K8" ca="1" si="5">G5/(1+I5)^C5</f>
        <v>0.19403240066192454</v>
      </c>
      <c r="L5" s="7"/>
    </row>
    <row r="6" spans="2:20" x14ac:dyDescent="0.25">
      <c r="B6" s="47"/>
      <c r="C6" s="16">
        <v>3</v>
      </c>
      <c r="D6" s="15">
        <f t="shared" ca="1" si="0"/>
        <v>0.18983158543952497</v>
      </c>
      <c r="E6" s="15">
        <f t="shared" ca="1" si="1"/>
        <v>2.5266654385132861</v>
      </c>
      <c r="F6" s="15">
        <v>0.12</v>
      </c>
      <c r="G6" s="16">
        <f t="shared" ca="1" si="2"/>
        <v>0.30319985262159432</v>
      </c>
      <c r="H6" s="15">
        <f t="shared" si="3"/>
        <v>1.6</v>
      </c>
      <c r="I6" s="17">
        <f t="shared" si="4"/>
        <v>0.14600000000000002</v>
      </c>
      <c r="J6" s="18"/>
      <c r="K6" s="15">
        <f t="shared" ca="1" si="5"/>
        <v>0.20145364651502165</v>
      </c>
      <c r="L6" s="7"/>
    </row>
    <row r="7" spans="2:20" x14ac:dyDescent="0.25">
      <c r="B7" s="47"/>
      <c r="C7" s="16">
        <v>4</v>
      </c>
      <c r="D7" s="15">
        <f t="shared" ca="1" si="0"/>
        <v>0.18983158543952497</v>
      </c>
      <c r="E7" s="15">
        <f t="shared" ca="1" si="1"/>
        <v>3.0063063445815157</v>
      </c>
      <c r="F7" s="15">
        <v>0.12</v>
      </c>
      <c r="G7" s="16">
        <f t="shared" ca="1" si="2"/>
        <v>0.36075676134978185</v>
      </c>
      <c r="H7" s="15">
        <f t="shared" si="3"/>
        <v>1.6</v>
      </c>
      <c r="I7" s="17">
        <f t="shared" si="4"/>
        <v>0.14600000000000002</v>
      </c>
      <c r="J7" s="18"/>
      <c r="K7" s="15">
        <f t="shared" ca="1" si="5"/>
        <v>0.20915873614794228</v>
      </c>
      <c r="L7" s="7"/>
    </row>
    <row r="8" spans="2:20" x14ac:dyDescent="0.25">
      <c r="B8" s="48"/>
      <c r="C8" s="20">
        <v>5</v>
      </c>
      <c r="D8" s="15">
        <f t="shared" ca="1" si="0"/>
        <v>0.18983158543952497</v>
      </c>
      <c r="E8" s="19">
        <f t="shared" ca="1" si="1"/>
        <v>3.5769982442903276</v>
      </c>
      <c r="F8" s="19">
        <v>0.12</v>
      </c>
      <c r="G8" s="20">
        <f t="shared" ca="1" si="2"/>
        <v>0.4292397893148393</v>
      </c>
      <c r="H8" s="15">
        <f t="shared" si="3"/>
        <v>1.6</v>
      </c>
      <c r="I8" s="21">
        <f t="shared" si="4"/>
        <v>0.14600000000000002</v>
      </c>
      <c r="J8" s="22"/>
      <c r="K8" s="19">
        <f t="shared" ca="1" si="5"/>
        <v>0.21715852586338</v>
      </c>
      <c r="L8" s="7"/>
    </row>
    <row r="9" spans="2:20" x14ac:dyDescent="0.25">
      <c r="B9" s="49" t="s">
        <v>11</v>
      </c>
      <c r="C9" s="12">
        <v>6</v>
      </c>
      <c r="D9" s="11">
        <f ca="1">D8-($D$3-0.06)/6</f>
        <v>0.16819298786627079</v>
      </c>
      <c r="E9" s="11">
        <f t="shared" ca="1" si="1"/>
        <v>4.1786242665899227</v>
      </c>
      <c r="F9" s="11">
        <f>F8+(0.6-0.12)/6</f>
        <v>0.2</v>
      </c>
      <c r="G9" s="12">
        <f t="shared" ca="1" si="2"/>
        <v>0.83572485331798463</v>
      </c>
      <c r="H9" s="11">
        <f>H8-($H$3-1)/6</f>
        <v>1.5</v>
      </c>
      <c r="I9" s="13">
        <f t="shared" si="4"/>
        <v>0.14000000000000001</v>
      </c>
      <c r="J9" s="14"/>
      <c r="K9" s="11">
        <f ca="1">G9/((1+0.146)^5*(1+0.14))</f>
        <v>0.37088167714762676</v>
      </c>
      <c r="L9" s="7"/>
    </row>
    <row r="10" spans="2:20" x14ac:dyDescent="0.25">
      <c r="B10" s="50"/>
      <c r="C10" s="16">
        <v>7</v>
      </c>
      <c r="D10" s="15">
        <f ca="1">D9-($D$3-0.06)/6</f>
        <v>0.14655439029301665</v>
      </c>
      <c r="E10" s="15">
        <f t="shared" ca="1" si="1"/>
        <v>4.7910199982436126</v>
      </c>
      <c r="F10" s="15">
        <f t="shared" ref="F10:F13" si="6">F9+(0.6-0.12)/6</f>
        <v>0.28000000000000003</v>
      </c>
      <c r="G10" s="16">
        <f t="shared" ca="1" si="2"/>
        <v>1.3414855995082116</v>
      </c>
      <c r="H10" s="15">
        <f>H9-($H$3-1)/6</f>
        <v>1.4</v>
      </c>
      <c r="I10" s="17">
        <f t="shared" si="4"/>
        <v>0.13400000000000001</v>
      </c>
      <c r="J10" s="18"/>
      <c r="K10" s="15">
        <f ca="1">G10/((1+0.146)^5*(1+0.14)*(1+0.134))</f>
        <v>0.52498273483067737</v>
      </c>
      <c r="L10" s="7"/>
    </row>
    <row r="11" spans="2:20" x14ac:dyDescent="0.25">
      <c r="B11" s="50"/>
      <c r="C11" s="16">
        <v>8</v>
      </c>
      <c r="D11" s="15">
        <f ca="1">D10-($D$3-0.06)/6</f>
        <v>0.12491579271976248</v>
      </c>
      <c r="E11" s="15">
        <f t="shared" ca="1" si="1"/>
        <v>5.3894940592604481</v>
      </c>
      <c r="F11" s="15">
        <f t="shared" si="6"/>
        <v>0.36000000000000004</v>
      </c>
      <c r="G11" s="16">
        <f t="shared" ca="1" si="2"/>
        <v>1.9402178613337615</v>
      </c>
      <c r="H11" s="15">
        <f>H10-($H$3-1)/6</f>
        <v>1.2999999999999998</v>
      </c>
      <c r="I11" s="17">
        <f t="shared" si="4"/>
        <v>0.128</v>
      </c>
      <c r="J11" s="18"/>
      <c r="K11" s="15">
        <f ca="1">G11/((1+0.146)^5*(1+0.14)*(1+0.134)*(1+0.128))</f>
        <v>0.67313225985893643</v>
      </c>
      <c r="L11" s="7"/>
    </row>
    <row r="12" spans="2:20" x14ac:dyDescent="0.25">
      <c r="B12" s="50"/>
      <c r="C12" s="16">
        <v>9</v>
      </c>
      <c r="D12" s="15">
        <f ca="1">D11-($D$3-0.06)/6</f>
        <v>0.10327719514650832</v>
      </c>
      <c r="E12" s="15">
        <f t="shared" ca="1" si="1"/>
        <v>5.9461058889596368</v>
      </c>
      <c r="F12" s="15">
        <f t="shared" si="6"/>
        <v>0.44000000000000006</v>
      </c>
      <c r="G12" s="16">
        <f t="shared" ca="1" si="2"/>
        <v>2.6162865911422406</v>
      </c>
      <c r="H12" s="15">
        <f>H11-(H3-1)/6</f>
        <v>1.1999999999999997</v>
      </c>
      <c r="I12" s="17">
        <f t="shared" si="4"/>
        <v>0.12199999999999998</v>
      </c>
      <c r="J12" s="18"/>
      <c r="K12" s="15">
        <f ca="1">G12/((1+0.146)^5*(1+0.14)*(1+0.134)*(1+0.128)*(1+0.122))</f>
        <v>0.80898853117625058</v>
      </c>
      <c r="L12" s="7"/>
    </row>
    <row r="13" spans="2:20" x14ac:dyDescent="0.25">
      <c r="B13" s="51"/>
      <c r="C13" s="20">
        <v>10</v>
      </c>
      <c r="D13" s="19">
        <f ca="1">D12-($D$3-0.06)/6</f>
        <v>8.163859757325416E-2</v>
      </c>
      <c r="E13" s="19">
        <f t="shared" ca="1" si="1"/>
        <v>6.4315376347563689</v>
      </c>
      <c r="F13" s="19">
        <f t="shared" si="6"/>
        <v>0.52</v>
      </c>
      <c r="G13" s="20">
        <f t="shared" ca="1" si="2"/>
        <v>3.3443995700733118</v>
      </c>
      <c r="H13" s="19">
        <f>H12-($H$3-1)/6</f>
        <v>1.0999999999999996</v>
      </c>
      <c r="I13" s="21">
        <f t="shared" si="4"/>
        <v>0.11599999999999998</v>
      </c>
      <c r="J13" s="22">
        <f ca="1">G14/(0.11-0.06)</f>
        <v>81.809158714101017</v>
      </c>
      <c r="K13" s="15">
        <f ca="1">G13/((1+0.146)^5*(1+0.14)*(1+0.134)*(1+0.128)*(1+0.122)*(1+0.116))</f>
        <v>0.92663993679425227</v>
      </c>
      <c r="L13" s="7">
        <f ca="1">J13/((1+0.146)^5*(1+0.14)*(1+0.134)*(1+0.128)*(1+0.122)*(1+0.116))</f>
        <v>22.667038453890171</v>
      </c>
      <c r="O13">
        <f ca="1">0.4+RAND()*(0.5-0.4)</f>
        <v>0.40377324980722856</v>
      </c>
      <c r="P13">
        <f ca="1">0.35+RAND()*(0.4-0.35)</f>
        <v>0.38156327586279826</v>
      </c>
      <c r="Q13">
        <f ca="1">0.25+RAND()*(0.35-0.25)</f>
        <v>0.33576427918531326</v>
      </c>
      <c r="R13">
        <v>4</v>
      </c>
      <c r="T13">
        <f ca="1">0.1+RAND()*(0.2-0.1)</f>
        <v>0.18983158543952497</v>
      </c>
    </row>
    <row r="14" spans="2:20" x14ac:dyDescent="0.25">
      <c r="B14" s="52" t="s">
        <v>12</v>
      </c>
      <c r="C14" s="7">
        <v>11</v>
      </c>
      <c r="D14" s="7">
        <v>0.06</v>
      </c>
      <c r="E14" s="7">
        <f t="shared" ca="1" si="1"/>
        <v>6.8174298928417514</v>
      </c>
      <c r="F14" s="7">
        <v>0.6</v>
      </c>
      <c r="G14" s="8">
        <f t="shared" ca="1" si="2"/>
        <v>4.090457935705051</v>
      </c>
      <c r="H14" s="7">
        <v>1</v>
      </c>
      <c r="I14" s="9">
        <f t="shared" si="4"/>
        <v>0.11</v>
      </c>
      <c r="J14" s="10"/>
      <c r="K14" s="23" t="s">
        <v>13</v>
      </c>
      <c r="L14" s="24">
        <f ca="1">SUM(K4:K13)+L13</f>
        <v>26.980351445101817</v>
      </c>
    </row>
    <row r="15" spans="2:20" x14ac:dyDescent="0.25">
      <c r="B15" s="53"/>
      <c r="C15" s="7">
        <v>12</v>
      </c>
      <c r="D15" s="7">
        <v>0.06</v>
      </c>
      <c r="E15" s="7">
        <f t="shared" ca="1" si="1"/>
        <v>7.2264756864122566</v>
      </c>
      <c r="F15" s="7">
        <v>0.6</v>
      </c>
      <c r="G15" s="8">
        <f t="shared" ca="1" si="2"/>
        <v>4.3358854118473538</v>
      </c>
      <c r="H15" s="7">
        <v>1</v>
      </c>
      <c r="I15" s="9">
        <f t="shared" si="4"/>
        <v>0.11</v>
      </c>
      <c r="J15" s="10"/>
      <c r="K15" s="7"/>
      <c r="L15" s="7"/>
    </row>
    <row r="16" spans="2:20" x14ac:dyDescent="0.25">
      <c r="B16" s="2"/>
      <c r="C16" s="7">
        <v>13</v>
      </c>
      <c r="D16" s="7">
        <v>0.06</v>
      </c>
      <c r="E16" s="7">
        <f t="shared" ca="1" si="1"/>
        <v>7.6600642275969921</v>
      </c>
      <c r="F16" s="7">
        <v>0.6</v>
      </c>
      <c r="G16" s="8">
        <f t="shared" ca="1" si="2"/>
        <v>4.5960385365581953</v>
      </c>
      <c r="H16" s="7">
        <v>1</v>
      </c>
      <c r="I16" s="9">
        <f t="shared" si="4"/>
        <v>0.11</v>
      </c>
    </row>
    <row r="17" spans="2:12" x14ac:dyDescent="0.25">
      <c r="B17" s="2"/>
      <c r="C17" s="7">
        <v>14</v>
      </c>
      <c r="D17" s="7">
        <v>0.06</v>
      </c>
      <c r="E17" s="7">
        <f t="shared" ca="1" si="1"/>
        <v>8.1196680812528115</v>
      </c>
      <c r="F17" s="7">
        <v>0.6</v>
      </c>
      <c r="G17" s="8">
        <f t="shared" ca="1" si="2"/>
        <v>4.8718008487516871</v>
      </c>
      <c r="H17" s="7">
        <v>1</v>
      </c>
      <c r="I17" s="9">
        <f t="shared" si="4"/>
        <v>0.11</v>
      </c>
    </row>
    <row r="18" spans="2:12" x14ac:dyDescent="0.25">
      <c r="B18" s="2"/>
      <c r="C18" s="7">
        <v>15</v>
      </c>
      <c r="D18" s="7">
        <v>0.06</v>
      </c>
      <c r="E18" s="7">
        <f t="shared" ca="1" si="1"/>
        <v>8.6068481661279801</v>
      </c>
      <c r="F18" s="7">
        <v>0.6</v>
      </c>
      <c r="G18" s="8">
        <f t="shared" ca="1" si="2"/>
        <v>5.1641088996767879</v>
      </c>
      <c r="H18" s="7">
        <v>1</v>
      </c>
      <c r="I18" s="9">
        <f t="shared" si="4"/>
        <v>0.11</v>
      </c>
    </row>
    <row r="19" spans="2:12" x14ac:dyDescent="0.25">
      <c r="B19" s="2"/>
      <c r="C19" s="7">
        <v>16</v>
      </c>
      <c r="D19" s="7">
        <v>0.06</v>
      </c>
      <c r="E19" s="7">
        <f t="shared" ca="1" si="1"/>
        <v>9.1232590560956588</v>
      </c>
      <c r="F19" s="7">
        <v>0.6</v>
      </c>
      <c r="G19" s="8">
        <f t="shared" ca="1" si="2"/>
        <v>5.4739554336573955</v>
      </c>
      <c r="H19" s="7">
        <v>1</v>
      </c>
      <c r="I19" s="9">
        <f t="shared" si="4"/>
        <v>0.11</v>
      </c>
    </row>
    <row r="20" spans="2:12" x14ac:dyDescent="0.25">
      <c r="B20" s="2"/>
      <c r="C20" s="7">
        <v>17</v>
      </c>
      <c r="D20" s="7">
        <v>0.06</v>
      </c>
      <c r="E20" s="7">
        <f t="shared" ca="1" si="1"/>
        <v>9.6706545994613986</v>
      </c>
      <c r="F20" s="7">
        <v>0.6</v>
      </c>
      <c r="G20" s="8">
        <f t="shared" ca="1" si="2"/>
        <v>5.802392759676839</v>
      </c>
      <c r="H20" s="7">
        <v>1</v>
      </c>
      <c r="I20" s="9">
        <f t="shared" si="4"/>
        <v>0.11</v>
      </c>
    </row>
    <row r="21" spans="2:12" x14ac:dyDescent="0.25">
      <c r="B21" s="2"/>
      <c r="C21" s="7">
        <v>18</v>
      </c>
      <c r="D21" s="7">
        <v>0.06</v>
      </c>
      <c r="E21" s="7">
        <f t="shared" ca="1" si="1"/>
        <v>10.250893875429083</v>
      </c>
      <c r="F21" s="7">
        <v>0.6</v>
      </c>
      <c r="G21" s="8">
        <f t="shared" ca="1" si="2"/>
        <v>6.1505363252574501</v>
      </c>
      <c r="H21" s="7">
        <v>1</v>
      </c>
      <c r="I21" s="9">
        <f t="shared" si="4"/>
        <v>0.11</v>
      </c>
    </row>
    <row r="22" spans="2:12" x14ac:dyDescent="0.25">
      <c r="B22" s="2"/>
      <c r="C22" s="7">
        <v>19</v>
      </c>
      <c r="D22" s="7">
        <v>0.06</v>
      </c>
      <c r="E22" s="7">
        <f t="shared" ca="1" si="1"/>
        <v>10.865947507954829</v>
      </c>
      <c r="F22" s="7">
        <v>0.6</v>
      </c>
      <c r="G22" s="8">
        <f t="shared" ca="1" si="2"/>
        <v>6.5195685047728968</v>
      </c>
      <c r="H22" s="7">
        <v>1</v>
      </c>
      <c r="I22" s="9">
        <f t="shared" si="4"/>
        <v>0.11</v>
      </c>
    </row>
    <row r="23" spans="2:12" ht="14.45" x14ac:dyDescent="0.3">
      <c r="B23" s="2"/>
      <c r="C23" s="7">
        <v>20</v>
      </c>
      <c r="D23" s="7">
        <v>0.06</v>
      </c>
      <c r="E23" s="7">
        <f t="shared" ca="1" si="1"/>
        <v>11.517904358432119</v>
      </c>
      <c r="F23" s="7">
        <v>0.6</v>
      </c>
      <c r="G23" s="8">
        <f t="shared" ca="1" si="2"/>
        <v>6.910742615059271</v>
      </c>
      <c r="H23" s="7">
        <v>1</v>
      </c>
      <c r="I23" s="9">
        <f t="shared" si="4"/>
        <v>0.11</v>
      </c>
    </row>
    <row r="24" spans="2:12" ht="14.45" x14ac:dyDescent="0.3">
      <c r="B24" s="2"/>
      <c r="C24" s="7">
        <v>21</v>
      </c>
      <c r="D24" s="7">
        <v>0.06</v>
      </c>
      <c r="E24" s="7">
        <f t="shared" ca="1" si="1"/>
        <v>12.208978619938048</v>
      </c>
      <c r="F24" s="7">
        <v>0.6</v>
      </c>
      <c r="G24" s="8">
        <f t="shared" ca="1" si="2"/>
        <v>7.3253871719628281</v>
      </c>
      <c r="H24" s="7">
        <v>1</v>
      </c>
      <c r="I24" s="9">
        <f t="shared" si="4"/>
        <v>0.11</v>
      </c>
    </row>
    <row r="25" spans="2:12" ht="14.45" x14ac:dyDescent="0.3">
      <c r="B25" s="2"/>
      <c r="C25" s="7">
        <v>22</v>
      </c>
      <c r="D25" s="7">
        <v>0.06</v>
      </c>
      <c r="E25" s="7">
        <f t="shared" ca="1" si="1"/>
        <v>12.94151733713433</v>
      </c>
      <c r="F25" s="7">
        <v>0.6</v>
      </c>
      <c r="G25" s="8">
        <f t="shared" ca="1" si="2"/>
        <v>7.7649104022805977</v>
      </c>
      <c r="H25" s="7">
        <v>1</v>
      </c>
      <c r="I25" s="9">
        <f t="shared" si="4"/>
        <v>0.11</v>
      </c>
    </row>
    <row r="26" spans="2:12" ht="14.45" x14ac:dyDescent="0.3">
      <c r="B26" s="2"/>
      <c r="C26" s="7">
        <v>23</v>
      </c>
      <c r="D26" s="7">
        <v>0.06</v>
      </c>
      <c r="E26" s="7">
        <f t="shared" ca="1" si="1"/>
        <v>13.718008377362391</v>
      </c>
      <c r="F26" s="7">
        <v>0.6</v>
      </c>
      <c r="G26" s="8">
        <f t="shared" ca="1" si="2"/>
        <v>8.2308050264174337</v>
      </c>
      <c r="H26" s="7">
        <v>1</v>
      </c>
      <c r="I26" s="9">
        <f t="shared" si="4"/>
        <v>0.11</v>
      </c>
    </row>
    <row r="27" spans="2:12" ht="14.45" x14ac:dyDescent="0.3">
      <c r="B27" s="32"/>
      <c r="C27" s="15">
        <v>24</v>
      </c>
      <c r="D27" s="15">
        <v>0.06</v>
      </c>
      <c r="E27" s="15">
        <f t="shared" ca="1" si="1"/>
        <v>14.541088880004136</v>
      </c>
      <c r="F27" s="15">
        <v>0.6</v>
      </c>
      <c r="G27" s="16">
        <f t="shared" ca="1" si="2"/>
        <v>8.7246533280024803</v>
      </c>
      <c r="H27" s="7">
        <v>1</v>
      </c>
      <c r="I27" s="9">
        <f t="shared" si="4"/>
        <v>0.11</v>
      </c>
      <c r="J27" s="5"/>
      <c r="K27" s="6"/>
      <c r="L27" s="6"/>
    </row>
    <row r="28" spans="2:12" thickBot="1" x14ac:dyDescent="0.35">
      <c r="B28" s="28"/>
      <c r="C28" s="28"/>
      <c r="D28" s="28"/>
      <c r="E28" s="28"/>
      <c r="F28" s="28"/>
      <c r="G28" s="29"/>
      <c r="H28" s="28"/>
      <c r="I28" s="30"/>
      <c r="J28" s="27"/>
      <c r="K28" s="28"/>
      <c r="L28" s="28"/>
    </row>
    <row r="29" spans="2:12" thickTop="1" x14ac:dyDescent="0.3"/>
    <row r="33" customFormat="1" ht="14.45" x14ac:dyDescent="0.3"/>
  </sheetData>
  <mergeCells count="3">
    <mergeCell ref="B4:B8"/>
    <mergeCell ref="B9:B13"/>
    <mergeCell ref="B14:B15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9" r:id="rId3" name="Option Button 3">
              <controlPr defaultSize="0" autoFill="0" autoLine="0" autoPict="0">
                <anchor moveWithCells="1">
                  <from>
                    <xdr:col>13</xdr:col>
                    <xdr:colOff>257175</xdr:colOff>
                    <xdr:row>13</xdr:row>
                    <xdr:rowOff>114300</xdr:rowOff>
                  </from>
                  <to>
                    <xdr:col>14</xdr:col>
                    <xdr:colOff>590550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4" name="Option Button 4">
              <controlPr defaultSize="0" autoFill="0" autoLine="0" autoPict="0">
                <anchor moveWithCells="1">
                  <from>
                    <xdr:col>15</xdr:col>
                    <xdr:colOff>28575</xdr:colOff>
                    <xdr:row>13</xdr:row>
                    <xdr:rowOff>123825</xdr:rowOff>
                  </from>
                  <to>
                    <xdr:col>16</xdr:col>
                    <xdr:colOff>361950</xdr:colOff>
                    <xdr:row>14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5" name="Option Button 5">
              <controlPr defaultSize="0" autoFill="0" autoLine="0" autoPict="0">
                <anchor moveWithCells="1">
                  <from>
                    <xdr:col>16</xdr:col>
                    <xdr:colOff>438150</xdr:colOff>
                    <xdr:row>13</xdr:row>
                    <xdr:rowOff>114300</xdr:rowOff>
                  </from>
                  <to>
                    <xdr:col>18</xdr:col>
                    <xdr:colOff>161925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6" name="Option Button 7">
              <controlPr defaultSize="0" autoFill="0" autoLine="0" autoPict="0">
                <anchor moveWithCells="1">
                  <from>
                    <xdr:col>18</xdr:col>
                    <xdr:colOff>428625</xdr:colOff>
                    <xdr:row>13</xdr:row>
                    <xdr:rowOff>133350</xdr:rowOff>
                  </from>
                  <to>
                    <xdr:col>20</xdr:col>
                    <xdr:colOff>57150</xdr:colOff>
                    <xdr:row>14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33"/>
  <sheetViews>
    <sheetView workbookViewId="0">
      <selection activeCell="K23" sqref="K23"/>
    </sheetView>
  </sheetViews>
  <sheetFormatPr defaultRowHeight="15" x14ac:dyDescent="0.25"/>
  <cols>
    <col min="2" max="2" width="11.140625" style="1" customWidth="1"/>
    <col min="3" max="5" width="9.140625" style="1"/>
    <col min="6" max="6" width="11.28515625" style="1" bestFit="1" customWidth="1"/>
    <col min="7" max="7" width="9.140625" style="3"/>
    <col min="8" max="8" width="9.140625" style="1"/>
    <col min="9" max="9" width="6" style="4" bestFit="1" customWidth="1"/>
    <col min="10" max="10" width="9.7109375" customWidth="1"/>
    <col min="11" max="11" width="9.140625" style="1" customWidth="1"/>
    <col min="12" max="12" width="10.7109375" style="1" customWidth="1"/>
  </cols>
  <sheetData>
    <row r="1" spans="2:16" ht="15.75" thickBot="1" x14ac:dyDescent="0.3">
      <c r="B1" s="28"/>
      <c r="C1" s="28"/>
      <c r="D1" s="28"/>
      <c r="E1" s="28"/>
      <c r="F1" s="28"/>
      <c r="G1" s="29"/>
      <c r="H1" s="28"/>
      <c r="I1" s="30"/>
      <c r="J1" s="27"/>
      <c r="K1" s="28"/>
      <c r="L1" s="28"/>
    </row>
    <row r="2" spans="2:16" ht="31.5" thickTop="1" thickBot="1" x14ac:dyDescent="0.3">
      <c r="B2" s="31"/>
      <c r="C2" s="26" t="s">
        <v>0</v>
      </c>
      <c r="D2" s="26" t="s">
        <v>1</v>
      </c>
      <c r="E2" s="26" t="s">
        <v>2</v>
      </c>
      <c r="F2" s="26" t="s">
        <v>5</v>
      </c>
      <c r="G2" s="26" t="s">
        <v>6</v>
      </c>
      <c r="H2" s="26" t="s">
        <v>3</v>
      </c>
      <c r="I2" s="26" t="s">
        <v>4</v>
      </c>
      <c r="J2" s="26" t="s">
        <v>7</v>
      </c>
      <c r="K2" s="26" t="s">
        <v>8</v>
      </c>
      <c r="L2" s="26" t="s">
        <v>9</v>
      </c>
    </row>
    <row r="3" spans="2:16" ht="15.75" thickTop="1" x14ac:dyDescent="0.25">
      <c r="B3" s="7"/>
      <c r="C3" s="7">
        <v>0</v>
      </c>
      <c r="D3" s="7">
        <v>0.25</v>
      </c>
      <c r="E3" s="7">
        <v>1.5</v>
      </c>
      <c r="F3" s="7"/>
      <c r="G3" s="8"/>
      <c r="H3" s="7">
        <v>1.6</v>
      </c>
      <c r="I3" s="9"/>
      <c r="J3" s="10"/>
      <c r="K3" s="7"/>
      <c r="L3" s="7"/>
    </row>
    <row r="4" spans="2:16" x14ac:dyDescent="0.25">
      <c r="B4" s="46" t="s">
        <v>10</v>
      </c>
      <c r="C4" s="12">
        <v>1</v>
      </c>
      <c r="D4" s="11">
        <f>D3</f>
        <v>0.25</v>
      </c>
      <c r="E4" s="11">
        <f>E3*(1+D4)</f>
        <v>1.875</v>
      </c>
      <c r="F4" s="11">
        <v>0.12</v>
      </c>
      <c r="G4" s="12">
        <f>E4*F4</f>
        <v>0.22499999999999998</v>
      </c>
      <c r="H4" s="11">
        <f>H3</f>
        <v>1.6</v>
      </c>
      <c r="I4" s="13">
        <f>0.05+H4*0.06</f>
        <v>0.14600000000000002</v>
      </c>
      <c r="J4" s="14"/>
      <c r="K4" s="11">
        <f>G4/(1+I4)^C4</f>
        <v>0.1963350785340314</v>
      </c>
      <c r="L4" s="7"/>
    </row>
    <row r="5" spans="2:16" x14ac:dyDescent="0.25">
      <c r="B5" s="47"/>
      <c r="C5" s="16">
        <v>2</v>
      </c>
      <c r="D5" s="15">
        <f t="shared" ref="D5:D8" si="0">D4</f>
        <v>0.25</v>
      </c>
      <c r="E5" s="15">
        <f t="shared" ref="E5:E27" si="1">E4*(1+D5)</f>
        <v>2.34375</v>
      </c>
      <c r="F5" s="15">
        <v>0.12</v>
      </c>
      <c r="G5" s="16">
        <f t="shared" ref="G5:G27" si="2">E5*F5</f>
        <v>0.28125</v>
      </c>
      <c r="H5" s="15">
        <f t="shared" ref="H5:H8" si="3">H4</f>
        <v>1.6</v>
      </c>
      <c r="I5" s="17">
        <f t="shared" ref="I5:I27" si="4">0.05+H5*0.06</f>
        <v>0.14600000000000002</v>
      </c>
      <c r="J5" s="18"/>
      <c r="K5" s="15">
        <f t="shared" ref="K5:K8" si="5">G5/(1+I5)^C5</f>
        <v>0.21415257257202383</v>
      </c>
      <c r="L5" s="7"/>
    </row>
    <row r="6" spans="2:16" x14ac:dyDescent="0.25">
      <c r="B6" s="47"/>
      <c r="C6" s="16">
        <v>3</v>
      </c>
      <c r="D6" s="15">
        <f t="shared" si="0"/>
        <v>0.25</v>
      </c>
      <c r="E6" s="15">
        <f t="shared" si="1"/>
        <v>2.9296875</v>
      </c>
      <c r="F6" s="15">
        <v>0.12</v>
      </c>
      <c r="G6" s="16">
        <f t="shared" si="2"/>
        <v>0.3515625</v>
      </c>
      <c r="H6" s="15">
        <f t="shared" si="3"/>
        <v>1.6</v>
      </c>
      <c r="I6" s="17">
        <f t="shared" si="4"/>
        <v>0.14600000000000002</v>
      </c>
      <c r="J6" s="18"/>
      <c r="K6" s="15">
        <f t="shared" si="5"/>
        <v>0.23358701196773982</v>
      </c>
      <c r="L6" s="7"/>
    </row>
    <row r="7" spans="2:16" x14ac:dyDescent="0.25">
      <c r="B7" s="47"/>
      <c r="C7" s="16">
        <v>4</v>
      </c>
      <c r="D7" s="15">
        <f t="shared" si="0"/>
        <v>0.25</v>
      </c>
      <c r="E7" s="15">
        <f t="shared" si="1"/>
        <v>3.662109375</v>
      </c>
      <c r="F7" s="15">
        <v>0.12</v>
      </c>
      <c r="G7" s="16">
        <f t="shared" si="2"/>
        <v>0.439453125</v>
      </c>
      <c r="H7" s="15">
        <f t="shared" si="3"/>
        <v>1.6</v>
      </c>
      <c r="I7" s="17">
        <f t="shared" si="4"/>
        <v>0.14600000000000002</v>
      </c>
      <c r="J7" s="18"/>
      <c r="K7" s="15">
        <f t="shared" si="5"/>
        <v>0.25478513521786633</v>
      </c>
      <c r="L7" s="7"/>
    </row>
    <row r="8" spans="2:16" x14ac:dyDescent="0.25">
      <c r="B8" s="48"/>
      <c r="C8" s="20">
        <v>5</v>
      </c>
      <c r="D8" s="15">
        <f t="shared" si="0"/>
        <v>0.25</v>
      </c>
      <c r="E8" s="19">
        <f t="shared" si="1"/>
        <v>4.57763671875</v>
      </c>
      <c r="F8" s="19">
        <v>0.12</v>
      </c>
      <c r="G8" s="20">
        <f t="shared" si="2"/>
        <v>0.54931640625</v>
      </c>
      <c r="H8" s="15">
        <f t="shared" si="3"/>
        <v>1.6</v>
      </c>
      <c r="I8" s="21">
        <f t="shared" si="4"/>
        <v>0.14600000000000002</v>
      </c>
      <c r="J8" s="22"/>
      <c r="K8" s="19">
        <f t="shared" si="5"/>
        <v>0.27790699740168667</v>
      </c>
      <c r="L8" s="7"/>
    </row>
    <row r="9" spans="2:16" x14ac:dyDescent="0.25">
      <c r="B9" s="49" t="s">
        <v>11</v>
      </c>
      <c r="C9" s="12">
        <v>6</v>
      </c>
      <c r="D9" s="11">
        <f>D8-($D$3-0.06)/6</f>
        <v>0.21833333333333332</v>
      </c>
      <c r="E9" s="11">
        <f t="shared" si="1"/>
        <v>5.57708740234375</v>
      </c>
      <c r="F9" s="11">
        <f>F8+(0.6-0.12)/6</f>
        <v>0.2</v>
      </c>
      <c r="G9" s="12">
        <f t="shared" si="2"/>
        <v>1.11541748046875</v>
      </c>
      <c r="H9" s="11">
        <f>H8-($H$3-1)/6</f>
        <v>1.5</v>
      </c>
      <c r="I9" s="13">
        <f t="shared" si="4"/>
        <v>0.14000000000000001</v>
      </c>
      <c r="J9" s="14"/>
      <c r="K9" s="11">
        <f>G9/((1+0.146)^5*(1+0.14))</f>
        <v>0.49500491008926151</v>
      </c>
      <c r="L9" s="7"/>
    </row>
    <row r="10" spans="2:16" x14ac:dyDescent="0.25">
      <c r="B10" s="50"/>
      <c r="C10" s="16">
        <v>7</v>
      </c>
      <c r="D10" s="15">
        <f>D9-($D$3-0.06)/6</f>
        <v>0.18666666666666665</v>
      </c>
      <c r="E10" s="15">
        <f t="shared" si="1"/>
        <v>6.6181437174479161</v>
      </c>
      <c r="F10" s="15">
        <f t="shared" ref="F10:F13" si="6">F9+(0.6-0.12)/6</f>
        <v>0.28000000000000003</v>
      </c>
      <c r="G10" s="16">
        <f t="shared" si="2"/>
        <v>1.8530802408854168</v>
      </c>
      <c r="H10" s="15">
        <f>H9-($H$3-1)/6</f>
        <v>1.4</v>
      </c>
      <c r="I10" s="17">
        <f t="shared" si="4"/>
        <v>0.13400000000000001</v>
      </c>
      <c r="J10" s="18"/>
      <c r="K10" s="15">
        <f>G10/((1+0.146)^5*(1+0.14)*(1+0.134))</f>
        <v>0.72519237856698404</v>
      </c>
      <c r="L10" s="7"/>
    </row>
    <row r="11" spans="2:16" x14ac:dyDescent="0.25">
      <c r="B11" s="50"/>
      <c r="C11" s="16">
        <v>8</v>
      </c>
      <c r="D11" s="15">
        <f>D10-($D$3-0.06)/6</f>
        <v>0.15499999999999997</v>
      </c>
      <c r="E11" s="15">
        <f t="shared" si="1"/>
        <v>7.6439559936523436</v>
      </c>
      <c r="F11" s="15">
        <f t="shared" si="6"/>
        <v>0.36000000000000004</v>
      </c>
      <c r="G11" s="16">
        <f t="shared" si="2"/>
        <v>2.7518241577148439</v>
      </c>
      <c r="H11" s="15">
        <f>H10-($H$3-1)/6</f>
        <v>1.2999999999999998</v>
      </c>
      <c r="I11" s="17">
        <f t="shared" si="4"/>
        <v>0.128</v>
      </c>
      <c r="J11" s="18"/>
      <c r="K11" s="15">
        <f>G11/((1+0.146)^5*(1+0.14)*(1+0.134)*(1+0.128))</f>
        <v>0.95470805157089644</v>
      </c>
      <c r="L11" s="7"/>
    </row>
    <row r="12" spans="2:16" x14ac:dyDescent="0.25">
      <c r="B12" s="50"/>
      <c r="C12" s="16">
        <v>9</v>
      </c>
      <c r="D12" s="15">
        <f>D11-($D$3-0.06)/6</f>
        <v>0.12333333333333329</v>
      </c>
      <c r="E12" s="15">
        <f t="shared" si="1"/>
        <v>8.5867105662027985</v>
      </c>
      <c r="F12" s="15">
        <f t="shared" si="6"/>
        <v>0.44000000000000006</v>
      </c>
      <c r="G12" s="16">
        <f t="shared" si="2"/>
        <v>3.7781526491292317</v>
      </c>
      <c r="H12" s="15">
        <f>H11-(H3-1)/6</f>
        <v>1.1999999999999997</v>
      </c>
      <c r="I12" s="17">
        <f t="shared" si="4"/>
        <v>0.12199999999999998</v>
      </c>
      <c r="J12" s="18"/>
      <c r="K12" s="15">
        <f>G12/((1+0.146)^5*(1+0.14)*(1+0.134)*(1+0.128)*(1+0.122))</f>
        <v>1.1682520456768049</v>
      </c>
      <c r="L12" s="7"/>
      <c r="N12" s="1"/>
      <c r="O12" s="1"/>
      <c r="P12" s="1"/>
    </row>
    <row r="13" spans="2:16" x14ac:dyDescent="0.25">
      <c r="B13" s="51"/>
      <c r="C13" s="20">
        <v>10</v>
      </c>
      <c r="D13" s="19">
        <f>D12-($D$3-0.06)/6</f>
        <v>9.1666666666666619E-2</v>
      </c>
      <c r="E13" s="19">
        <f t="shared" si="1"/>
        <v>9.3738257014380544</v>
      </c>
      <c r="F13" s="19">
        <f t="shared" si="6"/>
        <v>0.52</v>
      </c>
      <c r="G13" s="20">
        <f t="shared" si="2"/>
        <v>4.8743893647477883</v>
      </c>
      <c r="H13" s="19">
        <f>H12-($H$3-1)/6</f>
        <v>1.0999999999999996</v>
      </c>
      <c r="I13" s="21">
        <f t="shared" si="4"/>
        <v>0.11599999999999998</v>
      </c>
      <c r="J13" s="22">
        <f>G14/(0.11-0.06)</f>
        <v>119.23506292229203</v>
      </c>
      <c r="K13" s="15">
        <f>G13/((1+0.146)^5*(1+0.14)*(1+0.134)*(1+0.128)*(1+0.122)*(1+0.116))</f>
        <v>1.3505574792193429</v>
      </c>
      <c r="L13" s="7">
        <f>J13/((1+0.146)^5*(1+0.14)*(1+0.134)*(1+0.128)*(1+0.122)*(1+0.116))</f>
        <v>33.036713722442379</v>
      </c>
      <c r="N13" s="1"/>
      <c r="O13" s="1"/>
      <c r="P13" s="1"/>
    </row>
    <row r="14" spans="2:16" x14ac:dyDescent="0.25">
      <c r="B14" s="52" t="s">
        <v>12</v>
      </c>
      <c r="C14" s="7">
        <v>11</v>
      </c>
      <c r="D14" s="7">
        <v>0.06</v>
      </c>
      <c r="E14" s="7">
        <f t="shared" si="1"/>
        <v>9.9362552435243376</v>
      </c>
      <c r="F14" s="7">
        <v>0.6</v>
      </c>
      <c r="G14" s="8">
        <f t="shared" si="2"/>
        <v>5.9617531461146021</v>
      </c>
      <c r="H14" s="7">
        <v>1</v>
      </c>
      <c r="I14" s="9">
        <f t="shared" si="4"/>
        <v>0.11</v>
      </c>
      <c r="J14" s="10"/>
      <c r="K14" s="23" t="s">
        <v>13</v>
      </c>
      <c r="L14" s="24">
        <f>SUM(K4:K13)+L13</f>
        <v>38.907195383259015</v>
      </c>
    </row>
    <row r="15" spans="2:16" x14ac:dyDescent="0.25">
      <c r="B15" s="53"/>
      <c r="C15" s="7">
        <v>12</v>
      </c>
      <c r="D15" s="7">
        <v>0.06</v>
      </c>
      <c r="E15" s="7">
        <f t="shared" si="1"/>
        <v>10.532430558135799</v>
      </c>
      <c r="F15" s="7">
        <v>0.6</v>
      </c>
      <c r="G15" s="8">
        <f t="shared" si="2"/>
        <v>6.319458334881479</v>
      </c>
      <c r="H15" s="7">
        <v>1</v>
      </c>
      <c r="I15" s="9">
        <f t="shared" si="4"/>
        <v>0.11</v>
      </c>
      <c r="J15" s="10"/>
      <c r="K15" s="7"/>
      <c r="L15" s="7"/>
    </row>
    <row r="16" spans="2:16" x14ac:dyDescent="0.25">
      <c r="B16" s="2"/>
      <c r="C16" s="7">
        <v>13</v>
      </c>
      <c r="D16" s="7">
        <v>0.06</v>
      </c>
      <c r="E16" s="7">
        <f t="shared" si="1"/>
        <v>11.164376391623946</v>
      </c>
      <c r="F16" s="7">
        <v>0.6</v>
      </c>
      <c r="G16" s="8">
        <f t="shared" si="2"/>
        <v>6.6986258349743677</v>
      </c>
      <c r="H16" s="7">
        <v>1</v>
      </c>
      <c r="I16" s="9">
        <f t="shared" si="4"/>
        <v>0.11</v>
      </c>
    </row>
    <row r="17" spans="2:12" x14ac:dyDescent="0.25">
      <c r="B17" s="2"/>
      <c r="C17" s="7">
        <v>14</v>
      </c>
      <c r="D17" s="7">
        <v>0.06</v>
      </c>
      <c r="E17" s="7">
        <f t="shared" si="1"/>
        <v>11.834238975121384</v>
      </c>
      <c r="F17" s="7">
        <v>0.6</v>
      </c>
      <c r="G17" s="8">
        <f t="shared" si="2"/>
        <v>7.1005433850728297</v>
      </c>
      <c r="H17" s="7">
        <v>1</v>
      </c>
      <c r="I17" s="9">
        <f t="shared" si="4"/>
        <v>0.11</v>
      </c>
    </row>
    <row r="18" spans="2:12" x14ac:dyDescent="0.25">
      <c r="B18" s="2"/>
      <c r="C18" s="7">
        <v>15</v>
      </c>
      <c r="D18" s="7">
        <v>0.06</v>
      </c>
      <c r="E18" s="7">
        <f t="shared" si="1"/>
        <v>12.544293313628668</v>
      </c>
      <c r="F18" s="7">
        <v>0.6</v>
      </c>
      <c r="G18" s="8">
        <f t="shared" si="2"/>
        <v>7.5265759881771999</v>
      </c>
      <c r="H18" s="7">
        <v>1</v>
      </c>
      <c r="I18" s="9">
        <f t="shared" si="4"/>
        <v>0.11</v>
      </c>
    </row>
    <row r="19" spans="2:12" x14ac:dyDescent="0.25">
      <c r="B19" s="2"/>
      <c r="C19" s="7">
        <v>16</v>
      </c>
      <c r="D19" s="7">
        <v>0.06</v>
      </c>
      <c r="E19" s="7">
        <f t="shared" si="1"/>
        <v>13.296950912446388</v>
      </c>
      <c r="F19" s="7">
        <v>0.6</v>
      </c>
      <c r="G19" s="8">
        <f t="shared" si="2"/>
        <v>7.9781705474678324</v>
      </c>
      <c r="H19" s="7">
        <v>1</v>
      </c>
      <c r="I19" s="9">
        <f t="shared" si="4"/>
        <v>0.11</v>
      </c>
    </row>
    <row r="20" spans="2:12" x14ac:dyDescent="0.25">
      <c r="B20" s="2"/>
      <c r="C20" s="7">
        <v>17</v>
      </c>
      <c r="D20" s="7">
        <v>0.06</v>
      </c>
      <c r="E20" s="7">
        <f t="shared" si="1"/>
        <v>14.094767967193171</v>
      </c>
      <c r="F20" s="7">
        <v>0.6</v>
      </c>
      <c r="G20" s="8">
        <f t="shared" si="2"/>
        <v>8.4568607803159015</v>
      </c>
      <c r="H20" s="7">
        <v>1</v>
      </c>
      <c r="I20" s="9">
        <f t="shared" si="4"/>
        <v>0.11</v>
      </c>
    </row>
    <row r="21" spans="2:12" x14ac:dyDescent="0.25">
      <c r="B21" s="2"/>
      <c r="C21" s="7">
        <v>18</v>
      </c>
      <c r="D21" s="7">
        <v>0.06</v>
      </c>
      <c r="E21" s="7">
        <f t="shared" si="1"/>
        <v>14.940454045224762</v>
      </c>
      <c r="F21" s="7">
        <v>0.6</v>
      </c>
      <c r="G21" s="8">
        <f t="shared" si="2"/>
        <v>8.9642724271348566</v>
      </c>
      <c r="H21" s="7">
        <v>1</v>
      </c>
      <c r="I21" s="9">
        <f t="shared" si="4"/>
        <v>0.11</v>
      </c>
    </row>
    <row r="22" spans="2:12" x14ac:dyDescent="0.25">
      <c r="B22" s="2"/>
      <c r="C22" s="7">
        <v>19</v>
      </c>
      <c r="D22" s="7">
        <v>0.06</v>
      </c>
      <c r="E22" s="7">
        <f t="shared" si="1"/>
        <v>15.836881287938247</v>
      </c>
      <c r="F22" s="7">
        <v>0.6</v>
      </c>
      <c r="G22" s="8">
        <f t="shared" si="2"/>
        <v>9.5021287727629478</v>
      </c>
      <c r="H22" s="7">
        <v>1</v>
      </c>
      <c r="I22" s="9">
        <f t="shared" si="4"/>
        <v>0.11</v>
      </c>
    </row>
    <row r="23" spans="2:12" ht="14.45" x14ac:dyDescent="0.3">
      <c r="B23" s="2"/>
      <c r="C23" s="7">
        <v>20</v>
      </c>
      <c r="D23" s="7">
        <v>0.06</v>
      </c>
      <c r="E23" s="7">
        <f t="shared" si="1"/>
        <v>16.787094165214544</v>
      </c>
      <c r="F23" s="7">
        <v>0.6</v>
      </c>
      <c r="G23" s="8">
        <f t="shared" si="2"/>
        <v>10.072256499128725</v>
      </c>
      <c r="H23" s="7">
        <v>1</v>
      </c>
      <c r="I23" s="9">
        <f t="shared" si="4"/>
        <v>0.11</v>
      </c>
    </row>
    <row r="24" spans="2:12" ht="14.45" x14ac:dyDescent="0.3">
      <c r="B24" s="2"/>
      <c r="C24" s="7">
        <v>21</v>
      </c>
      <c r="D24" s="7">
        <v>0.06</v>
      </c>
      <c r="E24" s="7">
        <f t="shared" si="1"/>
        <v>17.794319815127416</v>
      </c>
      <c r="F24" s="7">
        <v>0.6</v>
      </c>
      <c r="G24" s="8">
        <f t="shared" si="2"/>
        <v>10.67659188907645</v>
      </c>
      <c r="H24" s="7">
        <v>1</v>
      </c>
      <c r="I24" s="9">
        <f t="shared" si="4"/>
        <v>0.11</v>
      </c>
    </row>
    <row r="25" spans="2:12" ht="14.45" x14ac:dyDescent="0.3">
      <c r="B25" s="2"/>
      <c r="C25" s="7">
        <v>22</v>
      </c>
      <c r="D25" s="7">
        <v>0.06</v>
      </c>
      <c r="E25" s="7">
        <f t="shared" si="1"/>
        <v>18.861979004035064</v>
      </c>
      <c r="F25" s="7">
        <v>0.6</v>
      </c>
      <c r="G25" s="8">
        <f t="shared" si="2"/>
        <v>11.317187402421037</v>
      </c>
      <c r="H25" s="7">
        <v>1</v>
      </c>
      <c r="I25" s="9">
        <f t="shared" si="4"/>
        <v>0.11</v>
      </c>
    </row>
    <row r="26" spans="2:12" ht="14.45" x14ac:dyDescent="0.3">
      <c r="B26" s="2"/>
      <c r="C26" s="7">
        <v>23</v>
      </c>
      <c r="D26" s="7">
        <v>0.06</v>
      </c>
      <c r="E26" s="7">
        <f t="shared" si="1"/>
        <v>19.993697744277167</v>
      </c>
      <c r="F26" s="7">
        <v>0.6</v>
      </c>
      <c r="G26" s="8">
        <f t="shared" si="2"/>
        <v>11.9962186465663</v>
      </c>
      <c r="H26" s="7">
        <v>1</v>
      </c>
      <c r="I26" s="9">
        <f t="shared" si="4"/>
        <v>0.11</v>
      </c>
    </row>
    <row r="27" spans="2:12" ht="14.45" x14ac:dyDescent="0.3">
      <c r="B27" s="32"/>
      <c r="C27" s="15">
        <v>24</v>
      </c>
      <c r="D27" s="15">
        <v>0.06</v>
      </c>
      <c r="E27" s="15">
        <f t="shared" si="1"/>
        <v>21.193319608933798</v>
      </c>
      <c r="F27" s="15">
        <v>0.6</v>
      </c>
      <c r="G27" s="16">
        <f t="shared" si="2"/>
        <v>12.715991765360279</v>
      </c>
      <c r="H27" s="7">
        <v>1</v>
      </c>
      <c r="I27" s="9">
        <f t="shared" si="4"/>
        <v>0.11</v>
      </c>
      <c r="J27" s="5"/>
      <c r="K27" s="6"/>
      <c r="L27" s="6"/>
    </row>
    <row r="28" spans="2:12" thickBot="1" x14ac:dyDescent="0.35">
      <c r="B28" s="28"/>
      <c r="C28" s="28"/>
      <c r="D28" s="28"/>
      <c r="E28" s="28"/>
      <c r="F28" s="28"/>
      <c r="G28" s="29"/>
      <c r="H28" s="28"/>
      <c r="I28" s="30"/>
      <c r="J28" s="27"/>
      <c r="K28" s="28"/>
      <c r="L28" s="28"/>
    </row>
    <row r="29" spans="2:12" thickTop="1" x14ac:dyDescent="0.3"/>
    <row r="33" customFormat="1" ht="14.45" x14ac:dyDescent="0.3"/>
  </sheetData>
  <scenarios current="2" show="2">
    <scenario name="Best Case" locked="1" count="1" user="mrahaman" comment="Created by mrahaman on 6/20/2016">
      <inputCells r="D3" val="0.5"/>
    </scenario>
    <scenario name="Normal Case" locked="1" count="1" user="mrahaman" comment="Created by mrahaman on 6/20/2016">
      <inputCells r="D3" val="0.36"/>
    </scenario>
    <scenario name="Worst Case" locked="1" count="1" user="mrahaman" comment="Created by mrahaman on 6/20/2016">
      <inputCells r="D3" val="0.25"/>
    </scenario>
  </scenarios>
  <mergeCells count="3">
    <mergeCell ref="B4:B8"/>
    <mergeCell ref="B9:B13"/>
    <mergeCell ref="B14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No-Uncertainty</vt:lpstr>
      <vt:lpstr>With-Uncertainty</vt:lpstr>
      <vt:lpstr>@RISK</vt:lpstr>
      <vt:lpstr>Sensitivity-analysis</vt:lpstr>
      <vt:lpstr>Scenario-analysis-manual</vt:lpstr>
      <vt:lpstr>ScenarioManager</vt:lpstr>
    </vt:vector>
  </TitlesOfParts>
  <Company>Saint Mary's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s1447322</dc:creator>
  <cp:lastModifiedBy>s6940429</cp:lastModifiedBy>
  <dcterms:created xsi:type="dcterms:W3CDTF">2010-02-02T22:24:23Z</dcterms:created>
  <dcterms:modified xsi:type="dcterms:W3CDTF">2019-06-05T23:38:26Z</dcterms:modified>
</cp:coreProperties>
</file>