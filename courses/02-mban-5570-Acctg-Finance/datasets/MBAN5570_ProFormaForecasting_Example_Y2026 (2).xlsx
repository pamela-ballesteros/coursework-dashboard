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\Course Materials\SMU2022_2023\MBAN\Lecture Notes\Financial Statement Analytics\"/>
    </mc:Choice>
  </mc:AlternateContent>
  <xr:revisionPtr revIDLastSave="0" documentId="13_ncr:1_{CF5FA5D9-2C16-44F6-A04D-239A16EC987F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Read Me" sheetId="6" r:id="rId1"/>
    <sheet name="IncomeStatement" sheetId="1" r:id="rId2"/>
    <sheet name="BalanceSheet" sheetId="2" r:id="rId3"/>
    <sheet name="Rate and Percentage Forecast" sheetId="3" r:id="rId4"/>
    <sheet name="Ratio Analysis" sheetId="4" r:id="rId5"/>
    <sheet name="Sheet5" sheetId="5" r:id="rId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"05/13/2015 17:49:46"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 iterateCount="100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" i="1" l="1"/>
  <c r="C15" i="4"/>
  <c r="D7" i="1"/>
  <c r="D15" i="4"/>
  <c r="E4" i="1"/>
  <c r="E5" i="1"/>
  <c r="E6" i="1"/>
  <c r="E7" i="1"/>
  <c r="D21" i="3"/>
  <c r="E21" i="3"/>
  <c r="E5" i="2"/>
  <c r="D22" i="3"/>
  <c r="E22" i="3"/>
  <c r="E6" i="2"/>
  <c r="E15" i="4"/>
  <c r="F4" i="1"/>
  <c r="F5" i="1"/>
  <c r="F6" i="1"/>
  <c r="F7" i="1"/>
  <c r="F21" i="3"/>
  <c r="F5" i="2"/>
  <c r="F22" i="3"/>
  <c r="F6" i="2"/>
  <c r="F15" i="4"/>
  <c r="G4" i="1"/>
  <c r="G5" i="1"/>
  <c r="G6" i="1"/>
  <c r="G7" i="1"/>
  <c r="G21" i="3"/>
  <c r="G5" i="2"/>
  <c r="G22" i="3"/>
  <c r="G6" i="2"/>
  <c r="G15" i="4"/>
  <c r="H4" i="1"/>
  <c r="H5" i="1"/>
  <c r="H6" i="1"/>
  <c r="H7" i="1"/>
  <c r="H21" i="3"/>
  <c r="H5" i="2"/>
  <c r="H22" i="3"/>
  <c r="H6" i="2"/>
  <c r="H15" i="4"/>
  <c r="I4" i="1"/>
  <c r="I5" i="1"/>
  <c r="I6" i="1"/>
  <c r="I7" i="1"/>
  <c r="I21" i="3"/>
  <c r="I5" i="2"/>
  <c r="I22" i="3"/>
  <c r="I6" i="2"/>
  <c r="I15" i="4"/>
  <c r="B7" i="1"/>
  <c r="B15" i="4"/>
  <c r="C14" i="4"/>
  <c r="D14" i="4"/>
  <c r="D11" i="3"/>
  <c r="E11" i="3"/>
  <c r="E10" i="1"/>
  <c r="D12" i="3"/>
  <c r="E12" i="3"/>
  <c r="E11" i="1"/>
  <c r="D13" i="3"/>
  <c r="E13" i="3"/>
  <c r="E12" i="1"/>
  <c r="D23" i="3"/>
  <c r="E23" i="3"/>
  <c r="E7" i="2"/>
  <c r="E14" i="4"/>
  <c r="F11" i="3"/>
  <c r="F10" i="1"/>
  <c r="F12" i="3"/>
  <c r="F11" i="1"/>
  <c r="F13" i="3"/>
  <c r="F12" i="1"/>
  <c r="F23" i="3"/>
  <c r="F7" i="2"/>
  <c r="F14" i="4"/>
  <c r="G11" i="3"/>
  <c r="G10" i="1"/>
  <c r="G12" i="3"/>
  <c r="G11" i="1"/>
  <c r="G13" i="3"/>
  <c r="G12" i="1"/>
  <c r="G23" i="3"/>
  <c r="G7" i="2"/>
  <c r="G14" i="4"/>
  <c r="H11" i="3"/>
  <c r="H10" i="1"/>
  <c r="H12" i="3"/>
  <c r="H11" i="1"/>
  <c r="H13" i="3"/>
  <c r="H12" i="1"/>
  <c r="H23" i="3"/>
  <c r="H7" i="2"/>
  <c r="H14" i="4"/>
  <c r="I11" i="3"/>
  <c r="I10" i="1"/>
  <c r="I12" i="3"/>
  <c r="I11" i="1"/>
  <c r="I13" i="3"/>
  <c r="I12" i="1"/>
  <c r="I23" i="3"/>
  <c r="I7" i="2"/>
  <c r="I14" i="4"/>
  <c r="B14" i="4"/>
  <c r="C9" i="2"/>
  <c r="C15" i="2"/>
  <c r="C13" i="4"/>
  <c r="D9" i="2"/>
  <c r="D15" i="2"/>
  <c r="D13" i="4"/>
  <c r="D20" i="3"/>
  <c r="E20" i="3"/>
  <c r="E4" i="2"/>
  <c r="D24" i="3"/>
  <c r="E24" i="3"/>
  <c r="E8" i="2"/>
  <c r="E9" i="2"/>
  <c r="D25" i="3"/>
  <c r="E25" i="3"/>
  <c r="E11" i="2"/>
  <c r="D26" i="3"/>
  <c r="E26" i="3"/>
  <c r="E12" i="2"/>
  <c r="D27" i="3"/>
  <c r="E27" i="3"/>
  <c r="E13" i="2"/>
  <c r="E15" i="2"/>
  <c r="E13" i="4"/>
  <c r="F20" i="3"/>
  <c r="F4" i="2"/>
  <c r="F24" i="3"/>
  <c r="F8" i="2"/>
  <c r="F9" i="2"/>
  <c r="F25" i="3"/>
  <c r="F11" i="2"/>
  <c r="F26" i="3"/>
  <c r="F12" i="2"/>
  <c r="F27" i="3"/>
  <c r="F13" i="2"/>
  <c r="F15" i="2"/>
  <c r="F13" i="4"/>
  <c r="G20" i="3"/>
  <c r="G4" i="2"/>
  <c r="G24" i="3"/>
  <c r="G8" i="2"/>
  <c r="G9" i="2"/>
  <c r="G25" i="3"/>
  <c r="G11" i="2"/>
  <c r="G26" i="3"/>
  <c r="G12" i="2"/>
  <c r="G27" i="3"/>
  <c r="G13" i="2"/>
  <c r="G15" i="2"/>
  <c r="G13" i="4"/>
  <c r="H20" i="3"/>
  <c r="H4" i="2"/>
  <c r="H24" i="3"/>
  <c r="H8" i="2"/>
  <c r="H9" i="2"/>
  <c r="H25" i="3"/>
  <c r="H11" i="2"/>
  <c r="H26" i="3"/>
  <c r="H12" i="2"/>
  <c r="H27" i="3"/>
  <c r="H13" i="2"/>
  <c r="H15" i="2"/>
  <c r="H13" i="4"/>
  <c r="I20" i="3"/>
  <c r="I4" i="2"/>
  <c r="I24" i="3"/>
  <c r="I8" i="2"/>
  <c r="I9" i="2"/>
  <c r="I25" i="3"/>
  <c r="I11" i="2"/>
  <c r="I26" i="3"/>
  <c r="I12" i="2"/>
  <c r="I27" i="3"/>
  <c r="I13" i="2"/>
  <c r="I15" i="2"/>
  <c r="I13" i="4"/>
  <c r="B9" i="2"/>
  <c r="B15" i="2"/>
  <c r="B13" i="4"/>
  <c r="C16" i="1"/>
  <c r="C18" i="1"/>
  <c r="C11" i="4"/>
  <c r="D16" i="1"/>
  <c r="D18" i="1"/>
  <c r="D11" i="4"/>
  <c r="B16" i="1"/>
  <c r="B18" i="1"/>
  <c r="B11" i="4"/>
  <c r="C10" i="4"/>
  <c r="D10" i="4"/>
  <c r="B10" i="4"/>
  <c r="C25" i="2"/>
  <c r="C9" i="4"/>
  <c r="D25" i="2"/>
  <c r="D9" i="4"/>
  <c r="D30" i="3"/>
  <c r="E30" i="3"/>
  <c r="E18" i="2"/>
  <c r="D31" i="3"/>
  <c r="E31" i="3"/>
  <c r="E19" i="2"/>
  <c r="D32" i="3"/>
  <c r="E32" i="3"/>
  <c r="E20" i="2"/>
  <c r="D37" i="3"/>
  <c r="E37" i="3"/>
  <c r="E21" i="2"/>
  <c r="D33" i="3"/>
  <c r="E33" i="3"/>
  <c r="E22" i="2"/>
  <c r="D34" i="3"/>
  <c r="E34" i="3"/>
  <c r="E23" i="2"/>
  <c r="D35" i="3"/>
  <c r="E35" i="3"/>
  <c r="E24" i="2"/>
  <c r="E25" i="2"/>
  <c r="E9" i="4"/>
  <c r="F30" i="3"/>
  <c r="F18" i="2"/>
  <c r="F31" i="3"/>
  <c r="F19" i="2"/>
  <c r="F32" i="3"/>
  <c r="F20" i="2"/>
  <c r="F37" i="3"/>
  <c r="F21" i="2"/>
  <c r="F33" i="3"/>
  <c r="F22" i="2"/>
  <c r="F34" i="3"/>
  <c r="F23" i="2"/>
  <c r="F35" i="3"/>
  <c r="F24" i="2"/>
  <c r="F25" i="2"/>
  <c r="F9" i="4"/>
  <c r="G30" i="3"/>
  <c r="G18" i="2"/>
  <c r="G31" i="3"/>
  <c r="G19" i="2"/>
  <c r="G32" i="3"/>
  <c r="G20" i="2"/>
  <c r="G37" i="3"/>
  <c r="G21" i="2"/>
  <c r="G33" i="3"/>
  <c r="G22" i="2"/>
  <c r="G34" i="3"/>
  <c r="G23" i="2"/>
  <c r="G35" i="3"/>
  <c r="G24" i="2"/>
  <c r="G25" i="2"/>
  <c r="G9" i="4"/>
  <c r="H30" i="3"/>
  <c r="H18" i="2"/>
  <c r="H31" i="3"/>
  <c r="H19" i="2"/>
  <c r="H32" i="3"/>
  <c r="H20" i="2"/>
  <c r="H37" i="3"/>
  <c r="H21" i="2"/>
  <c r="H33" i="3"/>
  <c r="H22" i="2"/>
  <c r="H34" i="3"/>
  <c r="H23" i="2"/>
  <c r="H35" i="3"/>
  <c r="H24" i="2"/>
  <c r="H25" i="2"/>
  <c r="H9" i="4"/>
  <c r="I30" i="3"/>
  <c r="I18" i="2"/>
  <c r="I31" i="3"/>
  <c r="I19" i="2"/>
  <c r="I32" i="3"/>
  <c r="I20" i="2"/>
  <c r="I37" i="3"/>
  <c r="I21" i="2"/>
  <c r="I33" i="3"/>
  <c r="I22" i="2"/>
  <c r="I34" i="3"/>
  <c r="I23" i="2"/>
  <c r="I35" i="3"/>
  <c r="I24" i="2"/>
  <c r="I25" i="2"/>
  <c r="I9" i="4"/>
  <c r="B25" i="2"/>
  <c r="B9" i="4"/>
  <c r="C8" i="4"/>
  <c r="D8" i="4"/>
  <c r="E8" i="4"/>
  <c r="F8" i="4"/>
  <c r="G8" i="4"/>
  <c r="H8" i="4"/>
  <c r="I8" i="4"/>
  <c r="B8" i="4"/>
  <c r="C20" i="1"/>
  <c r="C22" i="1"/>
  <c r="C6" i="4"/>
  <c r="D20" i="1"/>
  <c r="D22" i="1"/>
  <c r="D6" i="4"/>
  <c r="B20" i="1"/>
  <c r="B22" i="1"/>
  <c r="B6" i="4"/>
  <c r="C5" i="4"/>
  <c r="D5" i="4"/>
  <c r="D14" i="3"/>
  <c r="E14" i="3"/>
  <c r="E13" i="1"/>
  <c r="D15" i="3"/>
  <c r="E15" i="3"/>
  <c r="E14" i="1"/>
  <c r="D16" i="3"/>
  <c r="E16" i="3"/>
  <c r="E15" i="1"/>
  <c r="E16" i="1"/>
  <c r="E18" i="1"/>
  <c r="E5" i="4"/>
  <c r="F14" i="3"/>
  <c r="F13" i="1"/>
  <c r="F15" i="3"/>
  <c r="F14" i="1"/>
  <c r="F16" i="3"/>
  <c r="F15" i="1"/>
  <c r="F16" i="1"/>
  <c r="F18" i="1"/>
  <c r="F5" i="4"/>
  <c r="G14" i="3"/>
  <c r="G13" i="1"/>
  <c r="G15" i="3"/>
  <c r="G14" i="1"/>
  <c r="G16" i="3"/>
  <c r="G15" i="1"/>
  <c r="G16" i="1"/>
  <c r="G18" i="1"/>
  <c r="G5" i="4"/>
  <c r="H14" i="3"/>
  <c r="H13" i="1"/>
  <c r="H15" i="3"/>
  <c r="H14" i="1"/>
  <c r="H16" i="3"/>
  <c r="H15" i="1"/>
  <c r="H16" i="1"/>
  <c r="H18" i="1"/>
  <c r="H5" i="4"/>
  <c r="I14" i="3"/>
  <c r="I13" i="1"/>
  <c r="I15" i="3"/>
  <c r="I14" i="1"/>
  <c r="I16" i="3"/>
  <c r="I15" i="1"/>
  <c r="I16" i="1"/>
  <c r="I18" i="1"/>
  <c r="I5" i="4"/>
  <c r="B5" i="4"/>
  <c r="C4" i="4"/>
  <c r="D4" i="4"/>
  <c r="B4" i="4"/>
  <c r="C3" i="4"/>
  <c r="D3" i="4"/>
  <c r="B3" i="4"/>
  <c r="C37" i="3"/>
  <c r="D36" i="3"/>
  <c r="E36" i="3"/>
  <c r="F36" i="3"/>
  <c r="F28" i="2"/>
  <c r="G36" i="3"/>
  <c r="G28" i="2"/>
  <c r="H36" i="3"/>
  <c r="H28" i="2"/>
  <c r="I36" i="3"/>
  <c r="I28" i="2"/>
  <c r="E28" i="2"/>
  <c r="B37" i="3"/>
  <c r="F32" i="2"/>
  <c r="G32" i="2"/>
  <c r="H32" i="2"/>
  <c r="I32" i="2"/>
  <c r="E32" i="2"/>
  <c r="D6" i="3"/>
  <c r="E6" i="3"/>
  <c r="F6" i="3"/>
  <c r="G6" i="3"/>
  <c r="H6" i="3"/>
  <c r="I6" i="3"/>
  <c r="C6" i="3"/>
  <c r="B6" i="3"/>
  <c r="D7" i="3"/>
  <c r="E7" i="3"/>
  <c r="F7" i="3"/>
  <c r="G7" i="3"/>
  <c r="H7" i="3"/>
  <c r="I7" i="3"/>
  <c r="C7" i="3"/>
  <c r="B7" i="3"/>
  <c r="C36" i="3"/>
  <c r="C35" i="3"/>
  <c r="C34" i="3"/>
  <c r="C33" i="3"/>
  <c r="C32" i="3"/>
  <c r="C31" i="3"/>
  <c r="C30" i="3"/>
  <c r="B36" i="3"/>
  <c r="B35" i="3"/>
  <c r="B34" i="3"/>
  <c r="B33" i="3"/>
  <c r="B32" i="3"/>
  <c r="B31" i="3"/>
  <c r="B30" i="3"/>
  <c r="C27" i="3"/>
  <c r="C26" i="3"/>
  <c r="C25" i="3"/>
  <c r="B27" i="3"/>
  <c r="B26" i="3"/>
  <c r="B25" i="3"/>
  <c r="C24" i="3"/>
  <c r="C23" i="3"/>
  <c r="C22" i="3"/>
  <c r="B24" i="3"/>
  <c r="B23" i="3"/>
  <c r="B22" i="3"/>
  <c r="C21" i="3"/>
  <c r="B21" i="3"/>
  <c r="C20" i="3"/>
  <c r="B20" i="3"/>
  <c r="D17" i="3"/>
  <c r="E17" i="3"/>
  <c r="F17" i="3"/>
  <c r="G17" i="3"/>
  <c r="H17" i="3"/>
  <c r="I17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32" i="2"/>
  <c r="D32" i="2"/>
  <c r="B32" i="2"/>
  <c r="I11" i="4"/>
  <c r="H11" i="4"/>
  <c r="G11" i="4"/>
  <c r="F11" i="4"/>
  <c r="E11" i="4"/>
  <c r="I10" i="4"/>
  <c r="H10" i="4"/>
  <c r="G10" i="4"/>
  <c r="F10" i="4"/>
  <c r="E10" i="4"/>
  <c r="I6" i="4"/>
  <c r="H6" i="4"/>
  <c r="G6" i="4"/>
  <c r="F6" i="4"/>
  <c r="E6" i="4"/>
  <c r="I4" i="4"/>
  <c r="H4" i="4"/>
  <c r="G4" i="4"/>
  <c r="F4" i="4"/>
  <c r="E4" i="4"/>
  <c r="I22" i="1"/>
  <c r="I3" i="4"/>
  <c r="H22" i="1"/>
  <c r="H3" i="4"/>
  <c r="G22" i="1"/>
  <c r="G3" i="4"/>
  <c r="F22" i="1"/>
  <c r="F3" i="4"/>
  <c r="E3" i="4"/>
  <c r="I30" i="2"/>
  <c r="I27" i="2"/>
  <c r="I19" i="1"/>
  <c r="I20" i="1"/>
  <c r="I21" i="1"/>
  <c r="H30" i="2"/>
  <c r="H27" i="2"/>
  <c r="H19" i="1"/>
  <c r="H20" i="1"/>
  <c r="H21" i="1"/>
  <c r="G30" i="2"/>
  <c r="G27" i="2"/>
  <c r="G19" i="1"/>
  <c r="G20" i="1"/>
  <c r="G21" i="1"/>
  <c r="F30" i="2"/>
  <c r="F27" i="2"/>
  <c r="F19" i="1"/>
  <c r="F20" i="1"/>
  <c r="F21" i="1"/>
  <c r="E22" i="1"/>
  <c r="E30" i="2"/>
  <c r="E27" i="2"/>
  <c r="E19" i="1"/>
  <c r="E20" i="1"/>
  <c r="E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Rahaman</author>
  </authors>
  <commentList>
    <comment ref="A27" authorId="0" shapeId="0" xr:uid="{00000000-0006-0000-0200-000001000000}">
      <text>
        <r>
          <rPr>
            <b/>
            <sz val="9"/>
            <color indexed="81"/>
            <rFont val="Calibri"/>
            <family val="2"/>
          </rPr>
          <t>Mohammad Rahaman:</t>
        </r>
        <r>
          <rPr>
            <sz val="9"/>
            <color indexed="81"/>
            <rFont val="Calibri"/>
            <family val="2"/>
          </rPr>
          <t xml:space="preserve">
Note that there is a circular reference between debt, interest expenses, taxes, net income and shareholders' equity. We need to iterate for the forecaste to balance out.</t>
        </r>
      </text>
    </comment>
    <comment ref="A30" authorId="0" shapeId="0" xr:uid="{00000000-0006-0000-0200-000002000000}">
      <text>
        <r>
          <rPr>
            <b/>
            <sz val="9"/>
            <color indexed="81"/>
            <rFont val="Calibri"/>
            <family val="2"/>
          </rPr>
          <t>Mohammad Rahaman:</t>
        </r>
        <r>
          <rPr>
            <sz val="9"/>
            <color indexed="81"/>
            <rFont val="Calibri"/>
            <family val="2"/>
          </rPr>
          <t xml:space="preserve">
We assume that 100% of the net income flow into shareholders' equity.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Rahaman</author>
  </authors>
  <commentList>
    <comment ref="A3" authorId="0" shapeId="0" xr:uid="{00000000-0006-0000-0300-000001000000}">
      <text>
        <r>
          <rPr>
            <b/>
            <sz val="9"/>
            <color indexed="81"/>
            <rFont val="Calibri"/>
            <family val="2"/>
          </rPr>
          <t>Mohammad Rahaman:</t>
        </r>
        <r>
          <rPr>
            <sz val="9"/>
            <color indexed="81"/>
            <rFont val="Calibri"/>
            <family val="2"/>
          </rPr>
          <t xml:space="preserve">
Assume all revenue to grow at 10% rate.</t>
        </r>
      </text>
    </comment>
    <comment ref="A6" authorId="0" shapeId="0" xr:uid="{00000000-0006-0000-0300-000002000000}">
      <text>
        <r>
          <rPr>
            <b/>
            <sz val="9"/>
            <color indexed="81"/>
            <rFont val="Calibri"/>
            <family val="2"/>
          </rPr>
          <t>Mohammad Rahaman:</t>
        </r>
        <r>
          <rPr>
            <sz val="9"/>
            <color indexed="81"/>
            <rFont val="Calibri"/>
            <family val="2"/>
          </rPr>
          <t xml:space="preserve">
Approximate interest rate is set by dividing the interest expense from the income statement by the total amount of short-term and long-term debt from the balance sheet.</t>
        </r>
      </text>
    </comment>
    <comment ref="A7" authorId="0" shapeId="0" xr:uid="{00000000-0006-0000-0300-000003000000}">
      <text>
        <r>
          <rPr>
            <b/>
            <sz val="9"/>
            <color indexed="81"/>
            <rFont val="Calibri"/>
            <family val="2"/>
          </rPr>
          <t>Mohammad Rahaman:</t>
        </r>
        <r>
          <rPr>
            <sz val="9"/>
            <color indexed="81"/>
            <rFont val="Calibri"/>
            <family val="2"/>
          </rPr>
          <t xml:space="preserve">
The approximate tax-rate is estimated by dividing the provision for taxes by the EBT.</t>
        </r>
      </text>
    </comment>
  </commentList>
</comments>
</file>

<file path=xl/sharedStrings.xml><?xml version="1.0" encoding="utf-8"?>
<sst xmlns="http://schemas.openxmlformats.org/spreadsheetml/2006/main" count="128" uniqueCount="104">
  <si>
    <t>INCOME STATEMENT</t>
  </si>
  <si>
    <t xml:space="preserve">Product </t>
  </si>
  <si>
    <t xml:space="preserve">Service </t>
  </si>
  <si>
    <t>Financing income</t>
  </si>
  <si>
    <t>Total Net Revenue</t>
  </si>
  <si>
    <t>Cost and Expenses</t>
  </si>
  <si>
    <t>Cost of product</t>
  </si>
  <si>
    <t>Cost of service</t>
  </si>
  <si>
    <t>Financing interest</t>
  </si>
  <si>
    <t>Research and development</t>
  </si>
  <si>
    <t>Selling, general, and administrative</t>
  </si>
  <si>
    <t>Other expenses</t>
  </si>
  <si>
    <t>Total Operating Expenses</t>
  </si>
  <si>
    <t>EBIT</t>
  </si>
  <si>
    <t>Interst and other, net</t>
  </si>
  <si>
    <t>EBT</t>
  </si>
  <si>
    <t>Provision for taxes</t>
  </si>
  <si>
    <t>Net Income</t>
  </si>
  <si>
    <t>BALANCE SHEET</t>
  </si>
  <si>
    <t>Cash and cash equivalent</t>
  </si>
  <si>
    <t>Account receivables</t>
  </si>
  <si>
    <t>Financing receivables</t>
  </si>
  <si>
    <t>Inventory</t>
  </si>
  <si>
    <t>Other current assets</t>
  </si>
  <si>
    <t>Total Current Assets</t>
  </si>
  <si>
    <t>Property, plant, and equipment</t>
  </si>
  <si>
    <t>Long-term financing receivables and other assets</t>
  </si>
  <si>
    <t>Other long-term assets</t>
  </si>
  <si>
    <t>Total Assets</t>
  </si>
  <si>
    <t>Notes payable and short-term borrowing</t>
  </si>
  <si>
    <t>Account payable</t>
  </si>
  <si>
    <t>Employee compensation and benefits</t>
  </si>
  <si>
    <t>Taxes on earnings</t>
  </si>
  <si>
    <t>Deferred revenues</t>
  </si>
  <si>
    <t xml:space="preserve">Accrued restructuring </t>
  </si>
  <si>
    <t>Other accrued liabilities</t>
  </si>
  <si>
    <t>Total Current Liabilities</t>
  </si>
  <si>
    <t>Long-term debt</t>
  </si>
  <si>
    <t>Other liablities</t>
  </si>
  <si>
    <t>Shareholders' Equity</t>
  </si>
  <si>
    <t>Total Liabilities and Shareholders' Equity</t>
  </si>
  <si>
    <t>Net Revenue</t>
  </si>
  <si>
    <t>Current Assets</t>
  </si>
  <si>
    <t>Current Liabilities</t>
  </si>
  <si>
    <t>Product revenue growth rate</t>
  </si>
  <si>
    <t>Service revenue growth rate</t>
  </si>
  <si>
    <t>Financing income revenue growth rate</t>
  </si>
  <si>
    <t>Interest on borrowing (average)</t>
  </si>
  <si>
    <t>Tax rate</t>
  </si>
  <si>
    <t>Rates Assumptions</t>
  </si>
  <si>
    <t>Percentage Assumptions</t>
  </si>
  <si>
    <t>Cost percentages</t>
  </si>
  <si>
    <t>Cost of product/Net revenue from product</t>
  </si>
  <si>
    <t>Cost of service/Net revenue from service</t>
  </si>
  <si>
    <t>Financing interest/Financing income</t>
  </si>
  <si>
    <t>R&amp;D/Total revenue</t>
  </si>
  <si>
    <t>SGA/Total revenue</t>
  </si>
  <si>
    <t>Other expenses/Total revenue</t>
  </si>
  <si>
    <t>Total operating expenses/Total revenue</t>
  </si>
  <si>
    <t>Asset percentages</t>
  </si>
  <si>
    <t>Cash/Total revenue</t>
  </si>
  <si>
    <t>Account receivables/Total revenue</t>
  </si>
  <si>
    <t>Financing receivable/Total revenue</t>
  </si>
  <si>
    <t>Inventory/Total revenue</t>
  </si>
  <si>
    <t>Other current assets/Total revenue</t>
  </si>
  <si>
    <t>Property, plant, and equipment/Total revenue</t>
  </si>
  <si>
    <t>Long-term financing receivables/Total revenue</t>
  </si>
  <si>
    <t>Other long-term assets/Total revenue</t>
  </si>
  <si>
    <t>Liabilities percentages</t>
  </si>
  <si>
    <t>Short-term borrowing/Total revenue</t>
  </si>
  <si>
    <t>Account payable/Total revenue</t>
  </si>
  <si>
    <t>Employee compensation/Total revenue</t>
  </si>
  <si>
    <t>Deferred revenue/Total revenue</t>
  </si>
  <si>
    <t>Accrued restructurng/Total revenue</t>
  </si>
  <si>
    <t>Other accrued liabilities/Total revenue</t>
  </si>
  <si>
    <t>Other liabilities/Total revenue</t>
  </si>
  <si>
    <t>Taxes on earnings/Total revenue</t>
  </si>
  <si>
    <t>ROA</t>
  </si>
  <si>
    <t>ROE</t>
  </si>
  <si>
    <t>Operating Profit</t>
  </si>
  <si>
    <t>Net Profit</t>
  </si>
  <si>
    <t>Leverage &amp; Liquidity Ratios:</t>
  </si>
  <si>
    <t>Performace Ratios:</t>
  </si>
  <si>
    <t>Current Ratio</t>
  </si>
  <si>
    <t>Quick Ratio</t>
  </si>
  <si>
    <t>Debt/Equity</t>
  </si>
  <si>
    <t>Efficiency Ratios:</t>
  </si>
  <si>
    <t>Interst Coverage</t>
  </si>
  <si>
    <t>Asset turnover</t>
  </si>
  <si>
    <t>Inventory turnover</t>
  </si>
  <si>
    <t>Receivable turnover</t>
  </si>
  <si>
    <t>This spreadsheet gives you a simple Pro Forma Financial Statement Analysis</t>
  </si>
  <si>
    <t>The forecast is based on the assumptions that are given in the Rate and Percentage Forecast tab.</t>
  </si>
  <si>
    <t>Once you are done forecasting the Balance Sheet and Income Statement, you can do ratio analysis on the forecasted statements.</t>
  </si>
  <si>
    <t>Y1</t>
  </si>
  <si>
    <t>Y2</t>
  </si>
  <si>
    <t>Y3</t>
  </si>
  <si>
    <t>F1</t>
  </si>
  <si>
    <t>F2</t>
  </si>
  <si>
    <t>F3</t>
  </si>
  <si>
    <t>F4</t>
  </si>
  <si>
    <t>F5</t>
  </si>
  <si>
    <t>You are give the hisytorical data on Financial Statements from Y1-Y3 and asked for forecast for F1-F5</t>
  </si>
  <si>
    <t>READ 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</si>
</sst>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2"/>
      <color theme="1"/>
      <name val="LM Roman 10"/>
      <family val="3"/>
    </font>
    <font>
      <b/>
      <sz val="12"/>
      <color theme="1"/>
      <name val="LM Roman 10"/>
      <family val="3"/>
    </font>
    <font>
      <i/>
      <sz val="12"/>
      <color theme="1"/>
      <name val="LM Roman 10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" fontId="7" fillId="5" borderId="0" xfId="0" applyNumberFormat="1" applyFont="1" applyFill="1" applyAlignment="1">
      <alignment horizontal="center"/>
    </xf>
    <xf numFmtId="1" fontId="7" fillId="5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6" fillId="8" borderId="0" xfId="0" applyFont="1" applyFill="1"/>
    <xf numFmtId="0" fontId="6" fillId="8" borderId="0" xfId="0" applyFont="1" applyFill="1" applyAlignment="1">
      <alignment horizontal="center" vertical="center"/>
    </xf>
    <xf numFmtId="10" fontId="6" fillId="8" borderId="0" xfId="1" applyNumberFormat="1" applyFont="1" applyFill="1" applyAlignment="1">
      <alignment horizontal="center" vertical="center"/>
    </xf>
    <xf numFmtId="0" fontId="6" fillId="5" borderId="0" xfId="0" applyFont="1" applyFill="1"/>
    <xf numFmtId="10" fontId="6" fillId="5" borderId="0" xfId="1" applyNumberFormat="1" applyFont="1" applyFill="1" applyAlignment="1">
      <alignment horizontal="center" vertical="center"/>
    </xf>
    <xf numFmtId="0" fontId="6" fillId="6" borderId="0" xfId="0" applyFont="1" applyFill="1"/>
    <xf numFmtId="10" fontId="6" fillId="6" borderId="0" xfId="1" applyNumberFormat="1" applyFont="1" applyFill="1" applyAlignment="1">
      <alignment horizontal="center" vertical="center"/>
    </xf>
    <xf numFmtId="0" fontId="6" fillId="7" borderId="3" xfId="0" applyFont="1" applyFill="1" applyBorder="1"/>
    <xf numFmtId="10" fontId="6" fillId="7" borderId="3" xfId="1" applyNumberFormat="1" applyFont="1" applyFill="1" applyBorder="1" applyAlignment="1">
      <alignment horizontal="center" vertical="center"/>
    </xf>
    <xf numFmtId="0" fontId="6" fillId="7" borderId="0" xfId="0" applyFont="1" applyFill="1"/>
    <xf numFmtId="10" fontId="6" fillId="7" borderId="0" xfId="1" applyNumberFormat="1" applyFont="1" applyFill="1" applyBorder="1" applyAlignment="1">
      <alignment horizontal="center" vertical="center"/>
    </xf>
    <xf numFmtId="0" fontId="6" fillId="7" borderId="1" xfId="0" applyFont="1" applyFill="1" applyBorder="1"/>
    <xf numFmtId="10" fontId="6" fillId="7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0" borderId="3" xfId="0" applyFont="1" applyBorder="1"/>
    <xf numFmtId="10" fontId="6" fillId="9" borderId="3" xfId="1" applyNumberFormat="1" applyFont="1" applyFill="1" applyBorder="1" applyAlignment="1">
      <alignment horizontal="center"/>
    </xf>
    <xf numFmtId="10" fontId="6" fillId="10" borderId="3" xfId="1" applyNumberFormat="1" applyFont="1" applyFill="1" applyBorder="1" applyAlignment="1">
      <alignment horizontal="center"/>
    </xf>
    <xf numFmtId="10" fontId="6" fillId="9" borderId="0" xfId="1" applyNumberFormat="1" applyFont="1" applyFill="1" applyBorder="1" applyAlignment="1">
      <alignment horizontal="center"/>
    </xf>
    <xf numFmtId="10" fontId="6" fillId="10" borderId="0" xfId="1" applyNumberFormat="1" applyFont="1" applyFill="1" applyBorder="1" applyAlignment="1">
      <alignment horizontal="center"/>
    </xf>
    <xf numFmtId="0" fontId="6" fillId="0" borderId="1" xfId="0" applyFont="1" applyBorder="1"/>
    <xf numFmtId="10" fontId="6" fillId="9" borderId="1" xfId="1" applyNumberFormat="1" applyFont="1" applyFill="1" applyBorder="1" applyAlignment="1">
      <alignment horizontal="center"/>
    </xf>
    <xf numFmtId="10" fontId="6" fillId="10" borderId="1" xfId="1" applyNumberFormat="1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165" fontId="6" fillId="9" borderId="3" xfId="0" applyNumberFormat="1" applyFont="1" applyFill="1" applyBorder="1" applyAlignment="1">
      <alignment horizontal="center"/>
    </xf>
    <xf numFmtId="165" fontId="6" fillId="10" borderId="3" xfId="0" applyNumberFormat="1" applyFont="1" applyFill="1" applyBorder="1" applyAlignment="1">
      <alignment horizontal="center"/>
    </xf>
    <xf numFmtId="165" fontId="6" fillId="9" borderId="0" xfId="0" applyNumberFormat="1" applyFont="1" applyFill="1" applyAlignment="1">
      <alignment horizontal="center"/>
    </xf>
    <xf numFmtId="165" fontId="6" fillId="10" borderId="0" xfId="0" applyNumberFormat="1" applyFont="1" applyFill="1" applyAlignment="1">
      <alignment horizontal="center"/>
    </xf>
    <xf numFmtId="164" fontId="6" fillId="9" borderId="1" xfId="0" applyNumberFormat="1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center"/>
    </xf>
    <xf numFmtId="165" fontId="6" fillId="10" borderId="1" xfId="0" applyNumberFormat="1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10" fontId="7" fillId="8" borderId="0" xfId="1" applyNumberFormat="1" applyFont="1" applyFill="1" applyAlignment="1">
      <alignment horizontal="center" vertical="center"/>
    </xf>
    <xf numFmtId="10" fontId="7" fillId="5" borderId="0" xfId="1" applyNumberFormat="1" applyFont="1" applyFill="1" applyAlignment="1">
      <alignment horizontal="center" vertical="center"/>
    </xf>
    <xf numFmtId="10" fontId="7" fillId="6" borderId="0" xfId="1" applyNumberFormat="1" applyFont="1" applyFill="1" applyAlignment="1">
      <alignment horizontal="center" vertical="center"/>
    </xf>
    <xf numFmtId="10" fontId="7" fillId="7" borderId="3" xfId="1" applyNumberFormat="1" applyFont="1" applyFill="1" applyBorder="1" applyAlignment="1">
      <alignment horizontal="center" vertical="center"/>
    </xf>
    <xf numFmtId="10" fontId="7" fillId="7" borderId="0" xfId="1" applyNumberFormat="1" applyFont="1" applyFill="1" applyBorder="1" applyAlignment="1">
      <alignment horizontal="center" vertical="center"/>
    </xf>
    <xf numFmtId="10" fontId="7" fillId="7" borderId="1" xfId="1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</cellXfs>
  <cellStyles count="4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9.5" x14ac:dyDescent="0.4"/>
  <cols>
    <col min="1" max="1" width="9" style="2"/>
    <col min="2" max="2" width="124.75" style="2" bestFit="1" customWidth="1"/>
    <col min="3" max="16384" width="9" style="2"/>
  </cols>
  <sheetData>
    <row r="1" spans="1:2" x14ac:dyDescent="0.4">
      <c r="A1" s="9"/>
      <c r="B1" s="9" t="s">
        <v>103</v>
      </c>
    </row>
    <row r="2" spans="1:2" x14ac:dyDescent="0.4">
      <c r="A2" s="4">
        <v>1</v>
      </c>
      <c r="B2" s="5" t="s">
        <v>91</v>
      </c>
    </row>
    <row r="3" spans="1:2" x14ac:dyDescent="0.4">
      <c r="A3" s="6">
        <v>2</v>
      </c>
      <c r="B3" s="3" t="s">
        <v>102</v>
      </c>
    </row>
    <row r="4" spans="1:2" x14ac:dyDescent="0.4">
      <c r="A4" s="6">
        <v>3</v>
      </c>
      <c r="B4" s="3" t="s">
        <v>92</v>
      </c>
    </row>
    <row r="5" spans="1:2" x14ac:dyDescent="0.4">
      <c r="A5" s="7">
        <v>4</v>
      </c>
      <c r="B5" s="8" t="s">
        <v>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="98" zoomScaleNormal="98" zoomScalePageLayoutView="150" workbookViewId="0">
      <selection activeCell="D18" sqref="D18"/>
    </sheetView>
  </sheetViews>
  <sheetFormatPr defaultColWidth="11" defaultRowHeight="19.5" x14ac:dyDescent="0.4"/>
  <cols>
    <col min="1" max="1" width="32.25" style="2" bestFit="1" customWidth="1"/>
    <col min="2" max="9" width="11" style="20"/>
  </cols>
  <sheetData>
    <row r="1" spans="1:9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4">
      <c r="A2" s="9"/>
      <c r="B2" s="12" t="s">
        <v>94</v>
      </c>
      <c r="C2" s="12" t="s">
        <v>95</v>
      </c>
      <c r="D2" s="12" t="s">
        <v>96</v>
      </c>
      <c r="E2" s="13" t="s">
        <v>97</v>
      </c>
      <c r="F2" s="13" t="s">
        <v>98</v>
      </c>
      <c r="G2" s="13" t="s">
        <v>99</v>
      </c>
      <c r="H2" s="13" t="s">
        <v>100</v>
      </c>
      <c r="I2" s="13" t="s">
        <v>101</v>
      </c>
    </row>
    <row r="3" spans="1:9" x14ac:dyDescent="0.4">
      <c r="A3" s="3" t="s">
        <v>41</v>
      </c>
      <c r="B3" s="14"/>
      <c r="C3" s="14"/>
      <c r="D3" s="14"/>
      <c r="E3" s="15"/>
      <c r="F3" s="15"/>
      <c r="G3" s="15"/>
      <c r="H3" s="15"/>
      <c r="I3" s="15"/>
    </row>
    <row r="4" spans="1:9" x14ac:dyDescent="0.4">
      <c r="A4" s="2" t="s">
        <v>1</v>
      </c>
      <c r="B4" s="14">
        <v>6171</v>
      </c>
      <c r="C4" s="14">
        <v>7067</v>
      </c>
      <c r="D4" s="14">
        <v>7063</v>
      </c>
      <c r="E4" s="16">
        <f>D4*(1+'Rate and Percentage Forecast'!E3)</f>
        <v>7769.3</v>
      </c>
      <c r="F4" s="16">
        <f>E4*(1+'Rate and Percentage Forecast'!F3)</f>
        <v>8546.2300000000014</v>
      </c>
      <c r="G4" s="16">
        <f>F4*(1+'Rate and Percentage Forecast'!G3)</f>
        <v>9400.8530000000028</v>
      </c>
      <c r="H4" s="16">
        <f>G4*(1+'Rate and Percentage Forecast'!H3)</f>
        <v>10340.938300000003</v>
      </c>
      <c r="I4" s="16">
        <f>H4*(1+'Rate and Percentage Forecast'!I3)</f>
        <v>11375.032130000005</v>
      </c>
    </row>
    <row r="5" spans="1:9" x14ac:dyDescent="0.4">
      <c r="A5" s="2" t="s">
        <v>2</v>
      </c>
      <c r="B5" s="14">
        <v>3344</v>
      </c>
      <c r="C5" s="14">
        <v>3401</v>
      </c>
      <c r="D5" s="14">
        <v>3503</v>
      </c>
      <c r="E5" s="16">
        <f>D5*(1+'Rate and Percentage Forecast'!E4)</f>
        <v>3853.3</v>
      </c>
      <c r="F5" s="16">
        <f>E5*(1+'Rate and Percentage Forecast'!F4)</f>
        <v>4238.63</v>
      </c>
      <c r="G5" s="16">
        <f>F5*(1+'Rate and Percentage Forecast'!G4)</f>
        <v>4662.4930000000004</v>
      </c>
      <c r="H5" s="16">
        <f>G5*(1+'Rate and Percentage Forecast'!H4)</f>
        <v>5128.7423000000008</v>
      </c>
      <c r="I5" s="16">
        <f>H5*(1+'Rate and Percentage Forecast'!I4)</f>
        <v>5641.6165300000011</v>
      </c>
    </row>
    <row r="6" spans="1:9" x14ac:dyDescent="0.4">
      <c r="A6" s="2" t="s">
        <v>3</v>
      </c>
      <c r="B6" s="14">
        <v>31</v>
      </c>
      <c r="C6" s="14">
        <v>35</v>
      </c>
      <c r="D6" s="14">
        <v>37</v>
      </c>
      <c r="E6" s="16">
        <f>D6*(1+'Rate and Percentage Forecast'!E5)</f>
        <v>40.700000000000003</v>
      </c>
      <c r="F6" s="16">
        <f>E6*(1+'Rate and Percentage Forecast'!F5)</f>
        <v>44.77000000000001</v>
      </c>
      <c r="G6" s="16">
        <f>F6*(1+'Rate and Percentage Forecast'!G5)</f>
        <v>49.247000000000014</v>
      </c>
      <c r="H6" s="16">
        <f>G6*(1+'Rate and Percentage Forecast'!H5)</f>
        <v>54.171700000000023</v>
      </c>
      <c r="I6" s="16">
        <f>H6*(1+'Rate and Percentage Forecast'!I5)</f>
        <v>59.588870000000028</v>
      </c>
    </row>
    <row r="7" spans="1:9" x14ac:dyDescent="0.4">
      <c r="A7" s="3" t="s">
        <v>4</v>
      </c>
      <c r="B7" s="17">
        <f>SUM(B4:B6)</f>
        <v>9546</v>
      </c>
      <c r="C7" s="17">
        <f t="shared" ref="C7:I7" si="0">SUM(C4:C6)</f>
        <v>10503</v>
      </c>
      <c r="D7" s="17">
        <f t="shared" si="0"/>
        <v>10603</v>
      </c>
      <c r="E7" s="18">
        <f t="shared" si="0"/>
        <v>11663.300000000001</v>
      </c>
      <c r="F7" s="18">
        <f t="shared" si="0"/>
        <v>12829.630000000001</v>
      </c>
      <c r="G7" s="18">
        <f t="shared" si="0"/>
        <v>14112.593000000003</v>
      </c>
      <c r="H7" s="18">
        <f t="shared" si="0"/>
        <v>15523.852300000004</v>
      </c>
      <c r="I7" s="18">
        <f t="shared" si="0"/>
        <v>17076.237530000006</v>
      </c>
    </row>
    <row r="8" spans="1:9" x14ac:dyDescent="0.4">
      <c r="B8" s="14"/>
      <c r="C8" s="14"/>
      <c r="D8" s="14"/>
      <c r="E8" s="16"/>
      <c r="F8" s="16"/>
      <c r="G8" s="16"/>
      <c r="H8" s="16"/>
      <c r="I8" s="16"/>
    </row>
    <row r="9" spans="1:9" x14ac:dyDescent="0.4">
      <c r="A9" s="3" t="s">
        <v>5</v>
      </c>
      <c r="B9" s="14"/>
      <c r="C9" s="14"/>
      <c r="D9" s="14"/>
      <c r="E9" s="16"/>
      <c r="F9" s="16"/>
      <c r="G9" s="16"/>
      <c r="H9" s="16"/>
      <c r="I9" s="16"/>
    </row>
    <row r="10" spans="1:9" x14ac:dyDescent="0.4">
      <c r="A10" s="2" t="s">
        <v>6</v>
      </c>
      <c r="B10" s="14">
        <v>4709</v>
      </c>
      <c r="C10" s="14">
        <v>5422</v>
      </c>
      <c r="D10" s="14">
        <v>5431</v>
      </c>
      <c r="E10" s="16">
        <f>E4*'Rate and Percentage Forecast'!E11</f>
        <v>5974.1</v>
      </c>
      <c r="F10" s="16">
        <f>F4*'Rate and Percentage Forecast'!F11</f>
        <v>6571.5100000000011</v>
      </c>
      <c r="G10" s="16">
        <f>G4*'Rate and Percentage Forecast'!G11</f>
        <v>7228.6610000000019</v>
      </c>
      <c r="H10" s="16">
        <f>H4*'Rate and Percentage Forecast'!H11</f>
        <v>7951.527100000003</v>
      </c>
      <c r="I10" s="16">
        <f>I4*'Rate and Percentage Forecast'!I11</f>
        <v>8746.6798100000033</v>
      </c>
    </row>
    <row r="11" spans="1:9" x14ac:dyDescent="0.4">
      <c r="A11" s="2" t="s">
        <v>7</v>
      </c>
      <c r="B11" s="14">
        <v>2555</v>
      </c>
      <c r="C11" s="14">
        <v>2549</v>
      </c>
      <c r="D11" s="14">
        <v>2671</v>
      </c>
      <c r="E11" s="16">
        <f>E5*'Rate and Percentage Forecast'!E12</f>
        <v>2938.1000000000004</v>
      </c>
      <c r="F11" s="16">
        <f>F5*'Rate and Percentage Forecast'!F12</f>
        <v>3231.9100000000003</v>
      </c>
      <c r="G11" s="16">
        <f>G5*'Rate and Percentage Forecast'!G12</f>
        <v>3555.1010000000001</v>
      </c>
      <c r="H11" s="16">
        <f>H5*'Rate and Percentage Forecast'!H12</f>
        <v>3910.6111000000005</v>
      </c>
      <c r="I11" s="16">
        <f>I5*'Rate and Percentage Forecast'!I12</f>
        <v>4301.6722100000006</v>
      </c>
    </row>
    <row r="12" spans="1:9" x14ac:dyDescent="0.4">
      <c r="A12" s="2" t="s">
        <v>8</v>
      </c>
      <c r="B12" s="14">
        <v>27</v>
      </c>
      <c r="C12" s="14">
        <v>25</v>
      </c>
      <c r="D12" s="14">
        <v>26</v>
      </c>
      <c r="E12" s="16">
        <f>E6*'Rate and Percentage Forecast'!E13</f>
        <v>28.600000000000005</v>
      </c>
      <c r="F12" s="16">
        <f>F6*'Rate and Percentage Forecast'!F13</f>
        <v>31.460000000000008</v>
      </c>
      <c r="G12" s="16">
        <f>G6*'Rate and Percentage Forecast'!G13</f>
        <v>34.606000000000009</v>
      </c>
      <c r="H12" s="16">
        <f>H6*'Rate and Percentage Forecast'!H13</f>
        <v>38.066600000000015</v>
      </c>
      <c r="I12" s="16">
        <f>I6*'Rate and Percentage Forecast'!I13</f>
        <v>41.873260000000023</v>
      </c>
    </row>
    <row r="13" spans="1:9" x14ac:dyDescent="0.4">
      <c r="A13" s="2" t="s">
        <v>9</v>
      </c>
      <c r="B13" s="14">
        <v>235</v>
      </c>
      <c r="C13" s="14">
        <v>247</v>
      </c>
      <c r="D13" s="14">
        <v>271</v>
      </c>
      <c r="E13" s="16">
        <f>E7*'Rate and Percentage Forecast'!E14</f>
        <v>298.10000000000002</v>
      </c>
      <c r="F13" s="16">
        <f>F7*'Rate and Percentage Forecast'!F14</f>
        <v>327.91</v>
      </c>
      <c r="G13" s="16">
        <f>G7*'Rate and Percentage Forecast'!G14</f>
        <v>360.70100000000008</v>
      </c>
      <c r="H13" s="16">
        <f>H7*'Rate and Percentage Forecast'!H14</f>
        <v>396.7711000000001</v>
      </c>
      <c r="I13" s="16">
        <f>I7*'Rate and Percentage Forecast'!I14</f>
        <v>436.44821000000013</v>
      </c>
    </row>
    <row r="14" spans="1:9" x14ac:dyDescent="0.4">
      <c r="A14" s="2" t="s">
        <v>10</v>
      </c>
      <c r="B14" s="14">
        <v>971</v>
      </c>
      <c r="C14" s="14">
        <v>1060</v>
      </c>
      <c r="D14" s="14">
        <v>1122</v>
      </c>
      <c r="E14" s="16">
        <f>E7*'Rate and Percentage Forecast'!E15</f>
        <v>1234.2</v>
      </c>
      <c r="F14" s="16">
        <f>F7*'Rate and Percentage Forecast'!F15</f>
        <v>1357.6200000000001</v>
      </c>
      <c r="G14" s="16">
        <f>G7*'Rate and Percentage Forecast'!G15</f>
        <v>1493.3820000000003</v>
      </c>
      <c r="H14" s="16">
        <f>H7*'Rate and Percentage Forecast'!H15</f>
        <v>1642.7202000000004</v>
      </c>
      <c r="I14" s="16">
        <f>I7*'Rate and Percentage Forecast'!I15</f>
        <v>1806.9922200000005</v>
      </c>
    </row>
    <row r="15" spans="1:9" x14ac:dyDescent="0.4">
      <c r="A15" s="2" t="s">
        <v>11</v>
      </c>
      <c r="B15" s="14">
        <v>205</v>
      </c>
      <c r="C15" s="14">
        <v>243</v>
      </c>
      <c r="D15" s="14">
        <v>277</v>
      </c>
      <c r="E15" s="16">
        <f>E7*'Rate and Percentage Forecast'!E16</f>
        <v>304.7</v>
      </c>
      <c r="F15" s="16">
        <f>F7*'Rate and Percentage Forecast'!F16</f>
        <v>335.17</v>
      </c>
      <c r="G15" s="16">
        <f>G7*'Rate and Percentage Forecast'!G16</f>
        <v>368.68700000000007</v>
      </c>
      <c r="H15" s="16">
        <f>H7*'Rate and Percentage Forecast'!H16</f>
        <v>405.55570000000006</v>
      </c>
      <c r="I15" s="16">
        <f>I7*'Rate and Percentage Forecast'!I16</f>
        <v>446.1112700000001</v>
      </c>
    </row>
    <row r="16" spans="1:9" x14ac:dyDescent="0.4">
      <c r="A16" s="3" t="s">
        <v>12</v>
      </c>
      <c r="B16" s="17">
        <f>SUM(B10:B15)</f>
        <v>8702</v>
      </c>
      <c r="C16" s="17">
        <f t="shared" ref="C16:I16" si="1">SUM(C10:C15)</f>
        <v>9546</v>
      </c>
      <c r="D16" s="17">
        <f t="shared" si="1"/>
        <v>9798</v>
      </c>
      <c r="E16" s="18">
        <f t="shared" si="1"/>
        <v>10777.800000000003</v>
      </c>
      <c r="F16" s="18">
        <f t="shared" si="1"/>
        <v>11855.580000000002</v>
      </c>
      <c r="G16" s="18">
        <f t="shared" si="1"/>
        <v>13041.138000000003</v>
      </c>
      <c r="H16" s="18">
        <f t="shared" si="1"/>
        <v>14345.251800000004</v>
      </c>
      <c r="I16" s="18">
        <f t="shared" si="1"/>
        <v>15779.776980000004</v>
      </c>
    </row>
    <row r="17" spans="1:9" x14ac:dyDescent="0.4">
      <c r="B17" s="14"/>
      <c r="C17" s="14"/>
      <c r="D17" s="14"/>
      <c r="E17" s="16"/>
      <c r="F17" s="16"/>
      <c r="G17" s="16"/>
      <c r="H17" s="16"/>
      <c r="I17" s="16"/>
    </row>
    <row r="18" spans="1:9" x14ac:dyDescent="0.4">
      <c r="A18" s="2" t="s">
        <v>13</v>
      </c>
      <c r="B18" s="14">
        <f>B7-B16</f>
        <v>844</v>
      </c>
      <c r="C18" s="14">
        <f t="shared" ref="C18:I18" si="2">C7-C16</f>
        <v>957</v>
      </c>
      <c r="D18" s="14">
        <f t="shared" si="2"/>
        <v>805</v>
      </c>
      <c r="E18" s="16">
        <f t="shared" si="2"/>
        <v>885.49999999999818</v>
      </c>
      <c r="F18" s="16">
        <f t="shared" si="2"/>
        <v>974.04999999999927</v>
      </c>
      <c r="G18" s="16">
        <f t="shared" si="2"/>
        <v>1071.4549999999999</v>
      </c>
      <c r="H18" s="16">
        <f t="shared" si="2"/>
        <v>1178.6005000000005</v>
      </c>
      <c r="I18" s="16">
        <f t="shared" si="2"/>
        <v>1296.4605500000016</v>
      </c>
    </row>
    <row r="19" spans="1:9" x14ac:dyDescent="0.4">
      <c r="A19" s="2" t="s">
        <v>14</v>
      </c>
      <c r="B19" s="14">
        <v>60</v>
      </c>
      <c r="C19" s="14">
        <v>42</v>
      </c>
      <c r="D19" s="14">
        <v>58</v>
      </c>
      <c r="E19" s="16">
        <f ca="1">'Rate and Percentage Forecast'!E6*(BalanceSheet!E18+BalanceSheet!E27)</f>
        <v>61.801392214681741</v>
      </c>
      <c r="F19" s="16">
        <f ca="1">'Rate and Percentage Forecast'!F6*(BalanceSheet!F18+BalanceSheet!F27)</f>
        <v>65.946532303795806</v>
      </c>
      <c r="G19" s="16">
        <f ca="1">'Rate and Percentage Forecast'!G6*(BalanceSheet!G18+BalanceSheet!G27)</f>
        <v>70.46913242845703</v>
      </c>
      <c r="H19" s="16">
        <f ca="1">'Rate and Percentage Forecast'!H6*(BalanceSheet!H18+BalanceSheet!H27)</f>
        <v>75.406263900560049</v>
      </c>
      <c r="I19" s="16">
        <f ca="1">'Rate and Percentage Forecast'!I6*(BalanceSheet!I18+BalanceSheet!I27)</f>
        <v>80.798692878168993</v>
      </c>
    </row>
    <row r="20" spans="1:9" x14ac:dyDescent="0.4">
      <c r="A20" s="2" t="s">
        <v>15</v>
      </c>
      <c r="B20" s="14">
        <f>B18-B19</f>
        <v>784</v>
      </c>
      <c r="C20" s="14">
        <f t="shared" ref="C20:D20" si="3">C18-C19</f>
        <v>915</v>
      </c>
      <c r="D20" s="14">
        <f t="shared" si="3"/>
        <v>747</v>
      </c>
      <c r="E20" s="16">
        <f ca="1">E18-E19</f>
        <v>823.69860778531643</v>
      </c>
      <c r="F20" s="16">
        <f t="shared" ref="F20:I20" ca="1" si="4">F18-F19</f>
        <v>908.10346769620344</v>
      </c>
      <c r="G20" s="16">
        <f t="shared" ca="1" si="4"/>
        <v>1000.9858675715429</v>
      </c>
      <c r="H20" s="16">
        <f t="shared" ca="1" si="4"/>
        <v>1103.1942360994403</v>
      </c>
      <c r="I20" s="16">
        <f t="shared" ca="1" si="4"/>
        <v>1215.6618571218326</v>
      </c>
    </row>
    <row r="21" spans="1:9" x14ac:dyDescent="0.4">
      <c r="A21" s="2" t="s">
        <v>16</v>
      </c>
      <c r="B21" s="14">
        <v>146</v>
      </c>
      <c r="C21" s="14">
        <v>184</v>
      </c>
      <c r="D21" s="14">
        <v>159</v>
      </c>
      <c r="E21" s="16">
        <f ca="1">E20*'Rate and Percentage Forecast'!E7</f>
        <v>175.32540647639266</v>
      </c>
      <c r="F21" s="16">
        <f ca="1">F20*'Rate and Percentage Forecast'!F7</f>
        <v>193.29109954979432</v>
      </c>
      <c r="G21" s="16">
        <f ca="1">G20*'Rate and Percentage Forecast'!G7</f>
        <v>213.06124892085052</v>
      </c>
      <c r="H21" s="16">
        <f ca="1">H20*'Rate and Percentage Forecast'!H7</f>
        <v>234.81644382839494</v>
      </c>
      <c r="I21" s="16">
        <f ca="1">I20*'Rate and Percentage Forecast'!I7</f>
        <v>258.75533505002863</v>
      </c>
    </row>
    <row r="22" spans="1:9" x14ac:dyDescent="0.4">
      <c r="A22" s="9" t="s">
        <v>17</v>
      </c>
      <c r="B22" s="12">
        <f>B20-B21</f>
        <v>638</v>
      </c>
      <c r="C22" s="12">
        <f t="shared" ref="C22:I22" si="5">C20-C21</f>
        <v>731</v>
      </c>
      <c r="D22" s="12">
        <f t="shared" si="5"/>
        <v>588</v>
      </c>
      <c r="E22" s="19">
        <f t="shared" ca="1" si="5"/>
        <v>648.37320130892374</v>
      </c>
      <c r="F22" s="19">
        <f t="shared" ca="1" si="5"/>
        <v>714.81236814640909</v>
      </c>
      <c r="G22" s="19">
        <f t="shared" ca="1" si="5"/>
        <v>787.92461865069242</v>
      </c>
      <c r="H22" s="19">
        <f t="shared" ca="1" si="5"/>
        <v>868.37779227104534</v>
      </c>
      <c r="I22" s="19">
        <f t="shared" ca="1" si="5"/>
        <v>956.90652207180392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zoomScaleNormal="100" zoomScalePageLayoutView="150" workbookViewId="0">
      <selection activeCell="L11" sqref="L11"/>
    </sheetView>
  </sheetViews>
  <sheetFormatPr defaultColWidth="11" defaultRowHeight="19.5" x14ac:dyDescent="0.4"/>
  <cols>
    <col min="1" max="1" width="43.625" style="2" bestFit="1" customWidth="1"/>
    <col min="2" max="4" width="11" style="20"/>
    <col min="5" max="5" width="10.5" style="20" customWidth="1"/>
    <col min="6" max="9" width="11" style="20"/>
  </cols>
  <sheetData>
    <row r="1" spans="1:9" x14ac:dyDescent="0.4">
      <c r="A1" s="10" t="s">
        <v>18</v>
      </c>
      <c r="B1" s="21"/>
      <c r="C1" s="21"/>
      <c r="D1" s="21"/>
      <c r="E1" s="21"/>
      <c r="F1" s="21"/>
      <c r="G1" s="21"/>
      <c r="H1" s="21"/>
      <c r="I1" s="21"/>
    </row>
    <row r="2" spans="1:9" x14ac:dyDescent="0.4">
      <c r="A2" s="9"/>
      <c r="B2" s="12" t="s">
        <v>94</v>
      </c>
      <c r="C2" s="12" t="s">
        <v>95</v>
      </c>
      <c r="D2" s="12" t="s">
        <v>96</v>
      </c>
      <c r="E2" s="13" t="s">
        <v>97</v>
      </c>
      <c r="F2" s="13" t="s">
        <v>98</v>
      </c>
      <c r="G2" s="13" t="s">
        <v>99</v>
      </c>
      <c r="H2" s="13" t="s">
        <v>100</v>
      </c>
      <c r="I2" s="13" t="s">
        <v>101</v>
      </c>
    </row>
    <row r="3" spans="1:9" x14ac:dyDescent="0.4">
      <c r="A3" s="3" t="s">
        <v>42</v>
      </c>
      <c r="B3" s="14"/>
      <c r="C3" s="14"/>
      <c r="D3" s="14"/>
      <c r="E3" s="15"/>
      <c r="F3" s="15"/>
      <c r="G3" s="15"/>
      <c r="H3" s="15"/>
      <c r="I3" s="15"/>
    </row>
    <row r="4" spans="1:9" x14ac:dyDescent="0.4">
      <c r="A4" s="2" t="s">
        <v>19</v>
      </c>
      <c r="B4" s="14">
        <v>1107</v>
      </c>
      <c r="C4" s="14">
        <v>911</v>
      </c>
      <c r="D4" s="14">
        <v>670</v>
      </c>
      <c r="E4" s="16">
        <f>IncomeStatement!E7*'Rate and Percentage Forecast'!E20</f>
        <v>737</v>
      </c>
      <c r="F4" s="16">
        <f>IncomeStatement!F7*'Rate and Percentage Forecast'!F20</f>
        <v>810.7</v>
      </c>
      <c r="G4" s="16">
        <f>IncomeStatement!G7*'Rate and Percentage Forecast'!G20</f>
        <v>891.7700000000001</v>
      </c>
      <c r="H4" s="16">
        <f>IncomeStatement!H7*'Rate and Percentage Forecast'!H20</f>
        <v>980.94700000000023</v>
      </c>
      <c r="I4" s="16">
        <f>IncomeStatement!I7*'Rate and Percentage Forecast'!I20</f>
        <v>1079.0417000000002</v>
      </c>
    </row>
    <row r="5" spans="1:9" x14ac:dyDescent="0.4">
      <c r="A5" s="2" t="s">
        <v>20</v>
      </c>
      <c r="B5" s="14">
        <v>1378</v>
      </c>
      <c r="C5" s="14">
        <v>1540</v>
      </c>
      <c r="D5" s="14">
        <v>1519</v>
      </c>
      <c r="E5" s="16">
        <f>IncomeStatement!E7*'Rate and Percentage Forecast'!E21</f>
        <v>1670.9</v>
      </c>
      <c r="F5" s="16">
        <f>IncomeStatement!F7*'Rate and Percentage Forecast'!F21</f>
        <v>1837.9900000000002</v>
      </c>
      <c r="G5" s="16">
        <f>IncomeStatement!G7*'Rate and Percentage Forecast'!G21</f>
        <v>2021.7890000000004</v>
      </c>
      <c r="H5" s="16">
        <f>IncomeStatement!H7*'Rate and Percentage Forecast'!H21</f>
        <v>2223.9679000000006</v>
      </c>
      <c r="I5" s="16">
        <f>IncomeStatement!I7*'Rate and Percentage Forecast'!I21</f>
        <v>2446.3646900000008</v>
      </c>
    </row>
    <row r="6" spans="1:9" x14ac:dyDescent="0.4">
      <c r="A6" s="2" t="s">
        <v>21</v>
      </c>
      <c r="B6" s="14">
        <v>223</v>
      </c>
      <c r="C6" s="14">
        <v>249</v>
      </c>
      <c r="D6" s="14">
        <v>264</v>
      </c>
      <c r="E6" s="16">
        <f>IncomeStatement!E7*'Rate and Percentage Forecast'!E22</f>
        <v>290.40000000000003</v>
      </c>
      <c r="F6" s="16">
        <f>IncomeStatement!F7*'Rate and Percentage Forecast'!F22</f>
        <v>319.44000000000005</v>
      </c>
      <c r="G6" s="16">
        <f>IncomeStatement!G7*'Rate and Percentage Forecast'!G22</f>
        <v>351.38400000000007</v>
      </c>
      <c r="H6" s="16">
        <f>IncomeStatement!H7*'Rate and Percentage Forecast'!H22</f>
        <v>386.52240000000012</v>
      </c>
      <c r="I6" s="16">
        <f>IncomeStatement!I7*'Rate and Percentage Forecast'!I22</f>
        <v>425.17464000000018</v>
      </c>
    </row>
    <row r="7" spans="1:9" x14ac:dyDescent="0.4">
      <c r="A7" s="2" t="s">
        <v>22</v>
      </c>
      <c r="B7" s="14">
        <v>511</v>
      </c>
      <c r="C7" s="14">
        <v>539</v>
      </c>
      <c r="D7" s="14">
        <v>624</v>
      </c>
      <c r="E7" s="16">
        <f>IncomeStatement!E7*'Rate and Percentage Forecast'!E23</f>
        <v>686.40000000000009</v>
      </c>
      <c r="F7" s="16">
        <f>IncomeStatement!F7*'Rate and Percentage Forecast'!F23</f>
        <v>755.04000000000008</v>
      </c>
      <c r="G7" s="16">
        <f>IncomeStatement!G7*'Rate and Percentage Forecast'!G23</f>
        <v>830.5440000000001</v>
      </c>
      <c r="H7" s="16">
        <f>IncomeStatement!H7*'Rate and Percentage Forecast'!H23</f>
        <v>913.5984000000002</v>
      </c>
      <c r="I7" s="16">
        <f>IncomeStatement!I7*'Rate and Percentage Forecast'!I23</f>
        <v>1004.9582400000003</v>
      </c>
    </row>
    <row r="8" spans="1:9" x14ac:dyDescent="0.4">
      <c r="A8" s="2" t="s">
        <v>23</v>
      </c>
      <c r="B8" s="14">
        <v>1160</v>
      </c>
      <c r="C8" s="14">
        <v>1277</v>
      </c>
      <c r="D8" s="14">
        <v>1175</v>
      </c>
      <c r="E8" s="16">
        <f>IncomeStatement!E7*'Rate and Percentage Forecast'!E24</f>
        <v>1292.5000000000002</v>
      </c>
      <c r="F8" s="16">
        <f>IncomeStatement!F7*'Rate and Percentage Forecast'!F24</f>
        <v>1421.7500000000002</v>
      </c>
      <c r="G8" s="16">
        <f>IncomeStatement!G7*'Rate and Percentage Forecast'!G24</f>
        <v>1563.9250000000004</v>
      </c>
      <c r="H8" s="16">
        <f>IncomeStatement!H7*'Rate and Percentage Forecast'!H24</f>
        <v>1720.3175000000006</v>
      </c>
      <c r="I8" s="16">
        <f>IncomeStatement!I7*'Rate and Percentage Forecast'!I24</f>
        <v>1892.3492500000007</v>
      </c>
    </row>
    <row r="9" spans="1:9" x14ac:dyDescent="0.4">
      <c r="A9" s="3" t="s">
        <v>24</v>
      </c>
      <c r="B9" s="17">
        <f>SUM(B4:B8)</f>
        <v>4379</v>
      </c>
      <c r="C9" s="17">
        <f t="shared" ref="C9:I9" si="0">SUM(C4:C8)</f>
        <v>4516</v>
      </c>
      <c r="D9" s="17">
        <f t="shared" si="0"/>
        <v>4252</v>
      </c>
      <c r="E9" s="18">
        <f t="shared" si="0"/>
        <v>4677.2000000000007</v>
      </c>
      <c r="F9" s="18">
        <f t="shared" si="0"/>
        <v>5144.920000000001</v>
      </c>
      <c r="G9" s="18">
        <f t="shared" si="0"/>
        <v>5659.4120000000012</v>
      </c>
      <c r="H9" s="18">
        <f t="shared" si="0"/>
        <v>6225.3532000000014</v>
      </c>
      <c r="I9" s="18">
        <f t="shared" si="0"/>
        <v>6847.8885200000022</v>
      </c>
    </row>
    <row r="10" spans="1:9" x14ac:dyDescent="0.4">
      <c r="B10" s="14"/>
      <c r="C10" s="14"/>
      <c r="D10" s="14"/>
      <c r="E10" s="16"/>
      <c r="F10" s="16"/>
      <c r="G10" s="16"/>
      <c r="H10" s="16"/>
      <c r="I10" s="16"/>
    </row>
    <row r="11" spans="1:9" x14ac:dyDescent="0.4">
      <c r="A11" s="2" t="s">
        <v>25</v>
      </c>
      <c r="B11" s="14">
        <v>939</v>
      </c>
      <c r="C11" s="14">
        <v>980</v>
      </c>
      <c r="D11" s="14">
        <v>1024</v>
      </c>
      <c r="E11" s="16">
        <f>IncomeStatement!E7*'Rate and Percentage Forecast'!E25</f>
        <v>1126.4000000000001</v>
      </c>
      <c r="F11" s="16">
        <f>IncomeStatement!F7*'Rate and Percentage Forecast'!F25</f>
        <v>1239.0400000000002</v>
      </c>
      <c r="G11" s="16">
        <f>IncomeStatement!G7*'Rate and Percentage Forecast'!G25</f>
        <v>1362.9440000000002</v>
      </c>
      <c r="H11" s="16">
        <f>IncomeStatement!H7*'Rate and Percentage Forecast'!H25</f>
        <v>1499.2384000000004</v>
      </c>
      <c r="I11" s="16">
        <f>IncomeStatement!I7*'Rate and Percentage Forecast'!I25</f>
        <v>1649.1622400000006</v>
      </c>
    </row>
    <row r="12" spans="1:9" x14ac:dyDescent="0.4">
      <c r="A12" s="2" t="s">
        <v>26</v>
      </c>
      <c r="B12" s="14">
        <v>941</v>
      </c>
      <c r="C12" s="14">
        <v>1019</v>
      </c>
      <c r="D12" s="14">
        <v>896</v>
      </c>
      <c r="E12" s="16">
        <f>IncomeStatement!E7*'Rate and Percentage Forecast'!E26</f>
        <v>985.60000000000014</v>
      </c>
      <c r="F12" s="16">
        <f>IncomeStatement!F7*'Rate and Percentage Forecast'!F26</f>
        <v>1084.1600000000001</v>
      </c>
      <c r="G12" s="16">
        <f>IncomeStatement!G7*'Rate and Percentage Forecast'!G26</f>
        <v>1192.5760000000002</v>
      </c>
      <c r="H12" s="16">
        <f>IncomeStatement!H7*'Rate and Percentage Forecast'!H26</f>
        <v>1311.8336000000004</v>
      </c>
      <c r="I12" s="16">
        <f>IncomeStatement!I7*'Rate and Percentage Forecast'!I26</f>
        <v>1443.0169600000006</v>
      </c>
    </row>
    <row r="13" spans="1:9" x14ac:dyDescent="0.4">
      <c r="A13" s="2" t="s">
        <v>27</v>
      </c>
      <c r="B13" s="14">
        <v>4197</v>
      </c>
      <c r="C13" s="14">
        <v>5477</v>
      </c>
      <c r="D13" s="14">
        <v>6975</v>
      </c>
      <c r="E13" s="16">
        <f>IncomeStatement!E7*'Rate and Percentage Forecast'!E27</f>
        <v>7672.5000000000009</v>
      </c>
      <c r="F13" s="16">
        <f>IncomeStatement!F7*'Rate and Percentage Forecast'!F27</f>
        <v>8439.75</v>
      </c>
      <c r="G13" s="16">
        <f>IncomeStatement!G7*'Rate and Percentage Forecast'!G27</f>
        <v>9283.7250000000022</v>
      </c>
      <c r="H13" s="16">
        <f>IncomeStatement!H7*'Rate and Percentage Forecast'!H27</f>
        <v>10212.097500000002</v>
      </c>
      <c r="I13" s="16">
        <f>IncomeStatement!I7*'Rate and Percentage Forecast'!I27</f>
        <v>11233.307250000003</v>
      </c>
    </row>
    <row r="14" spans="1:9" x14ac:dyDescent="0.4">
      <c r="B14" s="14"/>
      <c r="C14" s="14"/>
      <c r="D14" s="14"/>
      <c r="E14" s="16"/>
      <c r="F14" s="16"/>
      <c r="G14" s="16"/>
      <c r="H14" s="16"/>
      <c r="I14" s="16"/>
    </row>
    <row r="15" spans="1:9" x14ac:dyDescent="0.4">
      <c r="A15" s="9" t="s">
        <v>28</v>
      </c>
      <c r="B15" s="12">
        <f>SUM(B9:B13)</f>
        <v>10456</v>
      </c>
      <c r="C15" s="12">
        <f t="shared" ref="C15:I15" si="1">SUM(C9:C13)</f>
        <v>11992</v>
      </c>
      <c r="D15" s="12">
        <f t="shared" si="1"/>
        <v>13147</v>
      </c>
      <c r="E15" s="19">
        <f t="shared" si="1"/>
        <v>14461.7</v>
      </c>
      <c r="F15" s="19">
        <f t="shared" si="1"/>
        <v>15907.87</v>
      </c>
      <c r="G15" s="19">
        <f t="shared" si="1"/>
        <v>17498.657000000007</v>
      </c>
      <c r="H15" s="19">
        <f t="shared" si="1"/>
        <v>19248.522700000001</v>
      </c>
      <c r="I15" s="19">
        <f t="shared" si="1"/>
        <v>21173.374970000004</v>
      </c>
    </row>
    <row r="16" spans="1:9" x14ac:dyDescent="0.4">
      <c r="B16" s="14"/>
      <c r="C16" s="14"/>
      <c r="D16" s="14"/>
      <c r="E16" s="16"/>
      <c r="F16" s="16"/>
      <c r="G16" s="16"/>
      <c r="H16" s="16"/>
      <c r="I16" s="16"/>
    </row>
    <row r="17" spans="1:9" x14ac:dyDescent="0.4">
      <c r="A17" s="3" t="s">
        <v>43</v>
      </c>
      <c r="B17" s="14"/>
      <c r="C17" s="14"/>
      <c r="D17" s="14"/>
      <c r="E17" s="16"/>
      <c r="F17" s="16"/>
      <c r="G17" s="16"/>
      <c r="H17" s="16"/>
      <c r="I17" s="16"/>
    </row>
    <row r="18" spans="1:9" x14ac:dyDescent="0.4">
      <c r="A18" s="2" t="s">
        <v>29</v>
      </c>
      <c r="B18" s="14">
        <v>154</v>
      </c>
      <c r="C18" s="14">
        <v>587</v>
      </c>
      <c r="D18" s="14">
        <v>674</v>
      </c>
      <c r="E18" s="16">
        <f>IncomeStatement!E7*'Rate and Percentage Forecast'!E30</f>
        <v>741.4</v>
      </c>
      <c r="F18" s="16">
        <f>IncomeStatement!F7*'Rate and Percentage Forecast'!F30</f>
        <v>815.54</v>
      </c>
      <c r="G18" s="16">
        <f>IncomeStatement!G7*'Rate and Percentage Forecast'!G30</f>
        <v>897.09400000000005</v>
      </c>
      <c r="H18" s="16">
        <f>IncomeStatement!H7*'Rate and Percentage Forecast'!H30</f>
        <v>986.80340000000012</v>
      </c>
      <c r="I18" s="16">
        <f>IncomeStatement!I7*'Rate and Percentage Forecast'!I30</f>
        <v>1085.4837400000004</v>
      </c>
    </row>
    <row r="19" spans="1:9" x14ac:dyDescent="0.4">
      <c r="A19" s="2" t="s">
        <v>30</v>
      </c>
      <c r="B19" s="14">
        <v>1234</v>
      </c>
      <c r="C19" s="14">
        <v>1197</v>
      </c>
      <c r="D19" s="14">
        <v>1229</v>
      </c>
      <c r="E19" s="16">
        <f>IncomeStatement!E7*'Rate and Percentage Forecast'!E31</f>
        <v>1351.9</v>
      </c>
      <c r="F19" s="16">
        <f>IncomeStatement!F7*'Rate and Percentage Forecast'!F31</f>
        <v>1487.0900000000001</v>
      </c>
      <c r="G19" s="16">
        <f>IncomeStatement!G7*'Rate and Percentage Forecast'!G31</f>
        <v>1635.7990000000004</v>
      </c>
      <c r="H19" s="16">
        <f>IncomeStatement!H7*'Rate and Percentage Forecast'!H31</f>
        <v>1799.3789000000006</v>
      </c>
      <c r="I19" s="16">
        <f>IncomeStatement!I7*'Rate and Percentage Forecast'!I31</f>
        <v>1979.3167900000008</v>
      </c>
    </row>
    <row r="20" spans="1:9" x14ac:dyDescent="0.4">
      <c r="A20" s="2" t="s">
        <v>31</v>
      </c>
      <c r="B20" s="14">
        <v>339</v>
      </c>
      <c r="C20" s="14">
        <v>355</v>
      </c>
      <c r="D20" s="14">
        <v>333</v>
      </c>
      <c r="E20" s="16">
        <f>IncomeStatement!E7*'Rate and Percentage Forecast'!E32</f>
        <v>366.3</v>
      </c>
      <c r="F20" s="16">
        <f>IncomeStatement!F7*'Rate and Percentage Forecast'!F32</f>
        <v>402.93</v>
      </c>
      <c r="G20" s="16">
        <f>IncomeStatement!G7*'Rate and Percentage Forecast'!G32</f>
        <v>443.22300000000007</v>
      </c>
      <c r="H20" s="16">
        <f>IncomeStatement!H7*'Rate and Percentage Forecast'!H32</f>
        <v>487.54530000000011</v>
      </c>
      <c r="I20" s="16">
        <f>IncomeStatement!I7*'Rate and Percentage Forecast'!I32</f>
        <v>536.29983000000016</v>
      </c>
    </row>
    <row r="21" spans="1:9" x14ac:dyDescent="0.4">
      <c r="A21" s="2" t="s">
        <v>32</v>
      </c>
      <c r="B21" s="14">
        <v>76</v>
      </c>
      <c r="C21" s="14">
        <v>67</v>
      </c>
      <c r="D21" s="14">
        <v>87</v>
      </c>
      <c r="E21" s="16">
        <f>IncomeStatement!E7*'Rate and Percentage Forecast'!E37</f>
        <v>95.700000000000017</v>
      </c>
      <c r="F21" s="16">
        <f>IncomeStatement!F7*'Rate and Percentage Forecast'!F37</f>
        <v>105.27000000000001</v>
      </c>
      <c r="G21" s="16">
        <f>IncomeStatement!G7*'Rate and Percentage Forecast'!G37</f>
        <v>115.79700000000003</v>
      </c>
      <c r="H21" s="16">
        <f>IncomeStatement!H7*'Rate and Percentage Forecast'!H37</f>
        <v>127.37670000000004</v>
      </c>
      <c r="I21" s="16">
        <f>IncomeStatement!I7*'Rate and Percentage Forecast'!I37</f>
        <v>140.11437000000006</v>
      </c>
    </row>
    <row r="22" spans="1:9" x14ac:dyDescent="0.4">
      <c r="A22" s="2" t="s">
        <v>33</v>
      </c>
      <c r="B22" s="14">
        <v>515</v>
      </c>
      <c r="C22" s="14">
        <v>561</v>
      </c>
      <c r="D22" s="14">
        <v>621</v>
      </c>
      <c r="E22" s="16">
        <f>IncomeStatement!E7*'Rate and Percentage Forecast'!E33</f>
        <v>683.1</v>
      </c>
      <c r="F22" s="16">
        <f>IncomeStatement!F7*'Rate and Percentage Forecast'!F33</f>
        <v>751.41000000000008</v>
      </c>
      <c r="G22" s="16">
        <f>IncomeStatement!G7*'Rate and Percentage Forecast'!G33</f>
        <v>826.55100000000016</v>
      </c>
      <c r="H22" s="16">
        <f>IncomeStatement!H7*'Rate and Percentage Forecast'!H33</f>
        <v>909.20610000000022</v>
      </c>
      <c r="I22" s="16">
        <f>IncomeStatement!I7*'Rate and Percentage Forecast'!I33</f>
        <v>1000.1267100000003</v>
      </c>
    </row>
    <row r="23" spans="1:9" x14ac:dyDescent="0.4">
      <c r="A23" s="2" t="s">
        <v>34</v>
      </c>
      <c r="B23" s="14">
        <v>92</v>
      </c>
      <c r="C23" s="14">
        <v>76</v>
      </c>
      <c r="D23" s="14">
        <v>55</v>
      </c>
      <c r="E23" s="16">
        <f>IncomeStatement!E7*'Rate and Percentage Forecast'!E34</f>
        <v>60.500000000000007</v>
      </c>
      <c r="F23" s="16">
        <f>IncomeStatement!F7*'Rate and Percentage Forecast'!F34</f>
        <v>66.550000000000011</v>
      </c>
      <c r="G23" s="16">
        <f>IncomeStatement!G7*'Rate and Percentage Forecast'!G34</f>
        <v>73.205000000000013</v>
      </c>
      <c r="H23" s="16">
        <f>IncomeStatement!H7*'Rate and Percentage Forecast'!H34</f>
        <v>80.525500000000022</v>
      </c>
      <c r="I23" s="16">
        <f>IncomeStatement!I7*'Rate and Percentage Forecast'!I34</f>
        <v>88.578050000000033</v>
      </c>
    </row>
    <row r="24" spans="1:9" x14ac:dyDescent="0.4">
      <c r="A24" s="2" t="s">
        <v>35</v>
      </c>
      <c r="B24" s="14">
        <v>1173</v>
      </c>
      <c r="C24" s="14">
        <v>1275</v>
      </c>
      <c r="D24" s="14">
        <v>1205</v>
      </c>
      <c r="E24" s="16">
        <f>IncomeStatement!E7*'Rate and Percentage Forecast'!E35</f>
        <v>1325.5</v>
      </c>
      <c r="F24" s="16">
        <f>IncomeStatement!F7*'Rate and Percentage Forecast'!F35</f>
        <v>1458.05</v>
      </c>
      <c r="G24" s="16">
        <f>IncomeStatement!G7*'Rate and Percentage Forecast'!G35</f>
        <v>1603.8550000000002</v>
      </c>
      <c r="H24" s="16">
        <f>IncomeStatement!H7*'Rate and Percentage Forecast'!H35</f>
        <v>1764.2405000000003</v>
      </c>
      <c r="I24" s="16">
        <f>IncomeStatement!I7*'Rate and Percentage Forecast'!I35</f>
        <v>1940.6645500000006</v>
      </c>
    </row>
    <row r="25" spans="1:9" x14ac:dyDescent="0.4">
      <c r="A25" s="3" t="s">
        <v>36</v>
      </c>
      <c r="B25" s="17">
        <f>SUM(B18:B24)</f>
        <v>3583</v>
      </c>
      <c r="C25" s="17">
        <f t="shared" ref="C25:I25" si="2">SUM(C18:C24)</f>
        <v>4118</v>
      </c>
      <c r="D25" s="17">
        <f t="shared" si="2"/>
        <v>4204</v>
      </c>
      <c r="E25" s="18">
        <f t="shared" si="2"/>
        <v>4624.3999999999996</v>
      </c>
      <c r="F25" s="18">
        <f t="shared" si="2"/>
        <v>5086.84</v>
      </c>
      <c r="G25" s="18">
        <f t="shared" si="2"/>
        <v>5595.5240000000013</v>
      </c>
      <c r="H25" s="18">
        <f t="shared" si="2"/>
        <v>6155.0764000000017</v>
      </c>
      <c r="I25" s="18">
        <f t="shared" si="2"/>
        <v>6770.5840400000025</v>
      </c>
    </row>
    <row r="26" spans="1:9" x14ac:dyDescent="0.4">
      <c r="B26" s="14"/>
      <c r="C26" s="14"/>
      <c r="D26" s="14"/>
      <c r="E26" s="16"/>
      <c r="F26" s="16"/>
      <c r="G26" s="16"/>
      <c r="H26" s="16"/>
      <c r="I26" s="16"/>
    </row>
    <row r="27" spans="1:9" x14ac:dyDescent="0.4">
      <c r="A27" s="2" t="s">
        <v>37</v>
      </c>
      <c r="B27" s="14">
        <v>1165</v>
      </c>
      <c r="C27" s="14">
        <v>1272</v>
      </c>
      <c r="D27" s="14">
        <v>1879</v>
      </c>
      <c r="E27" s="16">
        <f ca="1">E32-E25-E28-E30</f>
        <v>1978.9267986910772</v>
      </c>
      <c r="F27" s="16">
        <f t="shared" ref="F27:I27" ca="1" si="3">F32-F25-F28-F30</f>
        <v>2087.244430544667</v>
      </c>
      <c r="G27" s="16">
        <f t="shared" ca="1" si="3"/>
        <v>2204.7628118939792</v>
      </c>
      <c r="H27" s="16">
        <f t="shared" ca="1" si="3"/>
        <v>2332.3723196229275</v>
      </c>
      <c r="I27" s="16">
        <f t="shared" ca="1" si="3"/>
        <v>2471.0518275511276</v>
      </c>
    </row>
    <row r="28" spans="1:9" x14ac:dyDescent="0.4">
      <c r="A28" s="2" t="s">
        <v>38</v>
      </c>
      <c r="B28" s="14">
        <v>1421</v>
      </c>
      <c r="C28" s="14">
        <v>1588</v>
      </c>
      <c r="D28" s="14">
        <v>1460</v>
      </c>
      <c r="E28" s="16">
        <f>IncomeStatement!E7*'Rate and Percentage Forecast'!E36</f>
        <v>1606.0000000000002</v>
      </c>
      <c r="F28" s="16">
        <f>IncomeStatement!F7*'Rate and Percentage Forecast'!F36</f>
        <v>1766.6000000000004</v>
      </c>
      <c r="G28" s="16">
        <f>IncomeStatement!G7*'Rate and Percentage Forecast'!G36</f>
        <v>1943.2600000000004</v>
      </c>
      <c r="H28" s="16">
        <f>IncomeStatement!H7*'Rate and Percentage Forecast'!H36</f>
        <v>2137.5860000000007</v>
      </c>
      <c r="I28" s="16">
        <f>IncomeStatement!I7*'Rate and Percentage Forecast'!I36</f>
        <v>2351.3446000000008</v>
      </c>
    </row>
    <row r="29" spans="1:9" x14ac:dyDescent="0.4">
      <c r="B29" s="14"/>
      <c r="C29" s="14"/>
      <c r="D29" s="14"/>
      <c r="E29" s="16"/>
      <c r="F29" s="16"/>
      <c r="G29" s="16"/>
      <c r="H29" s="16"/>
      <c r="I29" s="16"/>
    </row>
    <row r="30" spans="1:9" x14ac:dyDescent="0.4">
      <c r="A30" s="2" t="s">
        <v>39</v>
      </c>
      <c r="B30" s="14">
        <v>4285</v>
      </c>
      <c r="C30" s="14">
        <v>5015</v>
      </c>
      <c r="D30" s="14">
        <v>5604</v>
      </c>
      <c r="E30" s="16">
        <f ca="1">D30+IncomeStatement!E22</f>
        <v>6252.3732013089239</v>
      </c>
      <c r="F30" s="16">
        <f ca="1">E30+IncomeStatement!F22</f>
        <v>6967.1855694553333</v>
      </c>
      <c r="G30" s="16">
        <f ca="1">F30+IncomeStatement!G22</f>
        <v>7755.1101881060258</v>
      </c>
      <c r="H30" s="16">
        <f ca="1">G30+IncomeStatement!H22</f>
        <v>8623.4879803770709</v>
      </c>
      <c r="I30" s="16">
        <f ca="1">H30+IncomeStatement!I22</f>
        <v>9580.3945024488748</v>
      </c>
    </row>
    <row r="31" spans="1:9" x14ac:dyDescent="0.4">
      <c r="B31" s="14"/>
      <c r="C31" s="14"/>
      <c r="D31" s="14"/>
      <c r="E31" s="16"/>
      <c r="F31" s="16"/>
      <c r="G31" s="16"/>
      <c r="H31" s="16"/>
      <c r="I31" s="16"/>
    </row>
    <row r="32" spans="1:9" x14ac:dyDescent="0.4">
      <c r="A32" s="9" t="s">
        <v>40</v>
      </c>
      <c r="B32" s="12">
        <f>SUM(B25:B30)</f>
        <v>10454</v>
      </c>
      <c r="C32" s="12">
        <f t="shared" ref="C32:D32" si="4">SUM(C25:C30)</f>
        <v>11993</v>
      </c>
      <c r="D32" s="12">
        <f t="shared" si="4"/>
        <v>13147</v>
      </c>
      <c r="E32" s="19">
        <f>E15</f>
        <v>14461.7</v>
      </c>
      <c r="F32" s="19">
        <f t="shared" ref="F32:I32" si="5">F15</f>
        <v>15907.87</v>
      </c>
      <c r="G32" s="19">
        <f t="shared" si="5"/>
        <v>17498.657000000007</v>
      </c>
      <c r="H32" s="19">
        <f t="shared" si="5"/>
        <v>19248.522700000001</v>
      </c>
      <c r="I32" s="19">
        <f t="shared" si="5"/>
        <v>21173.374970000004</v>
      </c>
    </row>
  </sheetData>
  <pageMargins left="0.75" right="0.75" top="1" bottom="1" header="0.5" footer="0.5"/>
  <ignoredErrors>
    <ignoredError sqref="E30 B15:I15 B32:I32" emptyCellReference="1"/>
  </ignoredErrors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="106" zoomScaleNormal="106" zoomScalePageLayoutView="150" workbookViewId="0"/>
  </sheetViews>
  <sheetFormatPr defaultColWidth="11" defaultRowHeight="19.5" x14ac:dyDescent="0.4"/>
  <cols>
    <col min="1" max="1" width="44.125" style="2" bestFit="1" customWidth="1"/>
    <col min="2" max="9" width="11" style="1"/>
  </cols>
  <sheetData>
    <row r="1" spans="1:9" x14ac:dyDescent="0.4">
      <c r="A1" s="22"/>
      <c r="B1" s="23" t="s">
        <v>94</v>
      </c>
      <c r="C1" s="23" t="s">
        <v>95</v>
      </c>
      <c r="D1" s="23" t="s">
        <v>96</v>
      </c>
      <c r="E1" s="23" t="s">
        <v>97</v>
      </c>
      <c r="F1" s="23" t="s">
        <v>98</v>
      </c>
      <c r="G1" s="23" t="s">
        <v>99</v>
      </c>
      <c r="H1" s="23" t="s">
        <v>100</v>
      </c>
      <c r="I1" s="23" t="s">
        <v>101</v>
      </c>
    </row>
    <row r="2" spans="1:9" x14ac:dyDescent="0.4">
      <c r="A2" s="66" t="s">
        <v>49</v>
      </c>
      <c r="B2" s="66"/>
      <c r="C2" s="66"/>
      <c r="D2" s="66"/>
      <c r="E2" s="66"/>
      <c r="F2" s="66"/>
      <c r="G2" s="66"/>
      <c r="H2" s="66"/>
      <c r="I2" s="66"/>
    </row>
    <row r="3" spans="1:9" x14ac:dyDescent="0.4">
      <c r="A3" s="24" t="s">
        <v>44</v>
      </c>
      <c r="B3" s="25"/>
      <c r="C3" s="25"/>
      <c r="D3" s="59"/>
      <c r="E3" s="26">
        <v>0.1</v>
      </c>
      <c r="F3" s="26">
        <v>0.1</v>
      </c>
      <c r="G3" s="26">
        <v>0.1</v>
      </c>
      <c r="H3" s="26">
        <v>0.1</v>
      </c>
      <c r="I3" s="26">
        <v>0.1</v>
      </c>
    </row>
    <row r="4" spans="1:9" x14ac:dyDescent="0.4">
      <c r="A4" s="24" t="s">
        <v>45</v>
      </c>
      <c r="B4" s="25"/>
      <c r="C4" s="25"/>
      <c r="D4" s="59"/>
      <c r="E4" s="26">
        <v>0.1</v>
      </c>
      <c r="F4" s="26">
        <v>0.1</v>
      </c>
      <c r="G4" s="26">
        <v>0.1</v>
      </c>
      <c r="H4" s="26">
        <v>0.1</v>
      </c>
      <c r="I4" s="26">
        <v>0.1</v>
      </c>
    </row>
    <row r="5" spans="1:9" x14ac:dyDescent="0.4">
      <c r="A5" s="24" t="s">
        <v>46</v>
      </c>
      <c r="B5" s="25"/>
      <c r="C5" s="25"/>
      <c r="D5" s="59"/>
      <c r="E5" s="26">
        <v>0.1</v>
      </c>
      <c r="F5" s="26">
        <v>0.1</v>
      </c>
      <c r="G5" s="26">
        <v>0.1</v>
      </c>
      <c r="H5" s="26">
        <v>0.1</v>
      </c>
      <c r="I5" s="26">
        <v>0.1</v>
      </c>
    </row>
    <row r="6" spans="1:9" x14ac:dyDescent="0.4">
      <c r="A6" s="24" t="s">
        <v>47</v>
      </c>
      <c r="B6" s="26">
        <f>IncomeStatement!B19/(BalanceSheet!B18+BalanceSheet!B27)</f>
        <v>4.5489006823351025E-2</v>
      </c>
      <c r="C6" s="26">
        <f>IncomeStatement!C19/(BalanceSheet!C18+BalanceSheet!C27)</f>
        <v>2.2592791823561054E-2</v>
      </c>
      <c r="D6" s="60">
        <f>IncomeStatement!D19/(BalanceSheet!D18+BalanceSheet!D27)</f>
        <v>2.2718370544457502E-2</v>
      </c>
      <c r="E6" s="26">
        <f>D6</f>
        <v>2.2718370544457502E-2</v>
      </c>
      <c r="F6" s="26">
        <f t="shared" ref="F6:I6" si="0">E6</f>
        <v>2.2718370544457502E-2</v>
      </c>
      <c r="G6" s="26">
        <f t="shared" si="0"/>
        <v>2.2718370544457502E-2</v>
      </c>
      <c r="H6" s="26">
        <f t="shared" si="0"/>
        <v>2.2718370544457502E-2</v>
      </c>
      <c r="I6" s="26">
        <f t="shared" si="0"/>
        <v>2.2718370544457502E-2</v>
      </c>
    </row>
    <row r="7" spans="1:9" x14ac:dyDescent="0.4">
      <c r="A7" s="24" t="s">
        <v>48</v>
      </c>
      <c r="B7" s="26">
        <f>IncomeStatement!B21/IncomeStatement!B20</f>
        <v>0.18622448979591838</v>
      </c>
      <c r="C7" s="26">
        <f>IncomeStatement!C21/IncomeStatement!C20</f>
        <v>0.20109289617486339</v>
      </c>
      <c r="D7" s="60">
        <f>IncomeStatement!D21/IncomeStatement!D20</f>
        <v>0.21285140562248997</v>
      </c>
      <c r="E7" s="26">
        <f>D7</f>
        <v>0.21285140562248997</v>
      </c>
      <c r="F7" s="26">
        <f t="shared" ref="F7:I7" si="1">E7</f>
        <v>0.21285140562248997</v>
      </c>
      <c r="G7" s="26">
        <f t="shared" si="1"/>
        <v>0.21285140562248997</v>
      </c>
      <c r="H7" s="26">
        <f t="shared" si="1"/>
        <v>0.21285140562248997</v>
      </c>
      <c r="I7" s="26">
        <f t="shared" si="1"/>
        <v>0.21285140562248997</v>
      </c>
    </row>
    <row r="9" spans="1:9" x14ac:dyDescent="0.4">
      <c r="A9" s="66" t="s">
        <v>50</v>
      </c>
      <c r="B9" s="66"/>
      <c r="C9" s="66"/>
      <c r="D9" s="66"/>
      <c r="E9" s="66"/>
      <c r="F9" s="66"/>
      <c r="G9" s="66"/>
      <c r="H9" s="66"/>
      <c r="I9" s="66"/>
    </row>
    <row r="10" spans="1:9" x14ac:dyDescent="0.4">
      <c r="A10" s="67" t="s">
        <v>51</v>
      </c>
      <c r="B10" s="67"/>
      <c r="C10" s="67"/>
      <c r="D10" s="67"/>
      <c r="E10" s="67"/>
      <c r="F10" s="67"/>
      <c r="G10" s="67"/>
      <c r="H10" s="67"/>
      <c r="I10" s="67"/>
    </row>
    <row r="11" spans="1:9" x14ac:dyDescent="0.4">
      <c r="A11" s="27" t="s">
        <v>52</v>
      </c>
      <c r="B11" s="28">
        <f>IncomeStatement!B10/IncomeStatement!B4</f>
        <v>0.76308539944903586</v>
      </c>
      <c r="C11" s="28">
        <f>IncomeStatement!C10/IncomeStatement!C4</f>
        <v>0.76722796094523849</v>
      </c>
      <c r="D11" s="61">
        <f>IncomeStatement!D10/IncomeStatement!D4</f>
        <v>0.76893671244513662</v>
      </c>
      <c r="E11" s="28">
        <f>D11</f>
        <v>0.76893671244513662</v>
      </c>
      <c r="F11" s="28">
        <f t="shared" ref="F11:I11" si="2">E11</f>
        <v>0.76893671244513662</v>
      </c>
      <c r="G11" s="28">
        <f t="shared" si="2"/>
        <v>0.76893671244513662</v>
      </c>
      <c r="H11" s="28">
        <f t="shared" si="2"/>
        <v>0.76893671244513662</v>
      </c>
      <c r="I11" s="28">
        <f t="shared" si="2"/>
        <v>0.76893671244513662</v>
      </c>
    </row>
    <row r="12" spans="1:9" x14ac:dyDescent="0.4">
      <c r="A12" s="27" t="s">
        <v>53</v>
      </c>
      <c r="B12" s="28">
        <f>IncomeStatement!B11/IncomeStatement!B5</f>
        <v>0.76405502392344493</v>
      </c>
      <c r="C12" s="28">
        <f>IncomeStatement!C11/IncomeStatement!C5</f>
        <v>0.74948544545721851</v>
      </c>
      <c r="D12" s="61">
        <f>IncomeStatement!D11/IncomeStatement!D5</f>
        <v>0.7624892948900942</v>
      </c>
      <c r="E12" s="28">
        <f>D12</f>
        <v>0.7624892948900942</v>
      </c>
      <c r="F12" s="28">
        <f t="shared" ref="F12:I12" si="3">E12</f>
        <v>0.7624892948900942</v>
      </c>
      <c r="G12" s="28">
        <f t="shared" si="3"/>
        <v>0.7624892948900942</v>
      </c>
      <c r="H12" s="28">
        <f t="shared" si="3"/>
        <v>0.7624892948900942</v>
      </c>
      <c r="I12" s="28">
        <f t="shared" si="3"/>
        <v>0.7624892948900942</v>
      </c>
    </row>
    <row r="13" spans="1:9" x14ac:dyDescent="0.4">
      <c r="A13" s="27" t="s">
        <v>54</v>
      </c>
      <c r="B13" s="28">
        <f>IncomeStatement!B12/IncomeStatement!B6</f>
        <v>0.87096774193548387</v>
      </c>
      <c r="C13" s="28">
        <f>IncomeStatement!C12/IncomeStatement!C6</f>
        <v>0.7142857142857143</v>
      </c>
      <c r="D13" s="61">
        <f>IncomeStatement!D12/IncomeStatement!D6</f>
        <v>0.70270270270270274</v>
      </c>
      <c r="E13" s="28">
        <f>D13</f>
        <v>0.70270270270270274</v>
      </c>
      <c r="F13" s="28">
        <f t="shared" ref="F13:I13" si="4">E13</f>
        <v>0.70270270270270274</v>
      </c>
      <c r="G13" s="28">
        <f t="shared" si="4"/>
        <v>0.70270270270270274</v>
      </c>
      <c r="H13" s="28">
        <f t="shared" si="4"/>
        <v>0.70270270270270274</v>
      </c>
      <c r="I13" s="28">
        <f t="shared" si="4"/>
        <v>0.70270270270270274</v>
      </c>
    </row>
    <row r="14" spans="1:9" x14ac:dyDescent="0.4">
      <c r="A14" s="27" t="s">
        <v>55</v>
      </c>
      <c r="B14" s="28">
        <f>IncomeStatement!B13/IncomeStatement!B7</f>
        <v>2.4617640896710664E-2</v>
      </c>
      <c r="C14" s="28">
        <f>IncomeStatement!C13/IncomeStatement!C7</f>
        <v>2.3517090355136629E-2</v>
      </c>
      <c r="D14" s="61">
        <f>IncomeStatement!D13/IncomeStatement!D7</f>
        <v>2.5558804112043761E-2</v>
      </c>
      <c r="E14" s="28">
        <f>D14</f>
        <v>2.5558804112043761E-2</v>
      </c>
      <c r="F14" s="28">
        <f t="shared" ref="F14:I14" si="5">E14</f>
        <v>2.5558804112043761E-2</v>
      </c>
      <c r="G14" s="28">
        <f t="shared" si="5"/>
        <v>2.5558804112043761E-2</v>
      </c>
      <c r="H14" s="28">
        <f t="shared" si="5"/>
        <v>2.5558804112043761E-2</v>
      </c>
      <c r="I14" s="28">
        <f t="shared" si="5"/>
        <v>2.5558804112043761E-2</v>
      </c>
    </row>
    <row r="15" spans="1:9" x14ac:dyDescent="0.4">
      <c r="A15" s="27" t="s">
        <v>56</v>
      </c>
      <c r="B15" s="28">
        <f>IncomeStatement!B14/IncomeStatement!B7</f>
        <v>0.10171799706683428</v>
      </c>
      <c r="C15" s="28">
        <f>IncomeStatement!C14/IncomeStatement!C7</f>
        <v>0.10092354565362277</v>
      </c>
      <c r="D15" s="61">
        <f>IncomeStatement!D14/IncomeStatement!D7</f>
        <v>0.10581910779967933</v>
      </c>
      <c r="E15" s="28">
        <f t="shared" ref="E15:I17" si="6">D15</f>
        <v>0.10581910779967933</v>
      </c>
      <c r="F15" s="28">
        <f t="shared" si="6"/>
        <v>0.10581910779967933</v>
      </c>
      <c r="G15" s="28">
        <f t="shared" si="6"/>
        <v>0.10581910779967933</v>
      </c>
      <c r="H15" s="28">
        <f t="shared" si="6"/>
        <v>0.10581910779967933</v>
      </c>
      <c r="I15" s="28">
        <f t="shared" si="6"/>
        <v>0.10581910779967933</v>
      </c>
    </row>
    <row r="16" spans="1:9" x14ac:dyDescent="0.4">
      <c r="A16" s="27" t="s">
        <v>57</v>
      </c>
      <c r="B16" s="28">
        <f>IncomeStatement!B15/IncomeStatement!B7</f>
        <v>2.1474963335428452E-2</v>
      </c>
      <c r="C16" s="28">
        <f>IncomeStatement!C15/IncomeStatement!C7</f>
        <v>2.313624678663239E-2</v>
      </c>
      <c r="D16" s="61">
        <f>IncomeStatement!D15/IncomeStatement!D7</f>
        <v>2.6124681693860227E-2</v>
      </c>
      <c r="E16" s="28">
        <f t="shared" si="6"/>
        <v>2.6124681693860227E-2</v>
      </c>
      <c r="F16" s="28">
        <f t="shared" si="6"/>
        <v>2.6124681693860227E-2</v>
      </c>
      <c r="G16" s="28">
        <f t="shared" si="6"/>
        <v>2.6124681693860227E-2</v>
      </c>
      <c r="H16" s="28">
        <f t="shared" si="6"/>
        <v>2.6124681693860227E-2</v>
      </c>
      <c r="I16" s="28">
        <f t="shared" si="6"/>
        <v>2.6124681693860227E-2</v>
      </c>
    </row>
    <row r="17" spans="1:9" x14ac:dyDescent="0.4">
      <c r="A17" s="27" t="s">
        <v>58</v>
      </c>
      <c r="B17" s="28">
        <f>IncomeStatement!B16/IncomeStatement!B7</f>
        <v>0.91158600460926043</v>
      </c>
      <c r="C17" s="28">
        <f>IncomeStatement!C16/IncomeStatement!C7</f>
        <v>0.9088831762353613</v>
      </c>
      <c r="D17" s="61">
        <f>IncomeStatement!D16/IncomeStatement!D7</f>
        <v>0.92407809110629069</v>
      </c>
      <c r="E17" s="28">
        <f t="shared" si="6"/>
        <v>0.92407809110629069</v>
      </c>
      <c r="F17" s="28">
        <f t="shared" si="6"/>
        <v>0.92407809110629069</v>
      </c>
      <c r="G17" s="28">
        <f t="shared" si="6"/>
        <v>0.92407809110629069</v>
      </c>
      <c r="H17" s="28">
        <f t="shared" si="6"/>
        <v>0.92407809110629069</v>
      </c>
      <c r="I17" s="28">
        <f t="shared" si="6"/>
        <v>0.92407809110629069</v>
      </c>
    </row>
    <row r="19" spans="1:9" x14ac:dyDescent="0.4">
      <c r="A19" s="68" t="s">
        <v>59</v>
      </c>
      <c r="B19" s="68"/>
      <c r="C19" s="68"/>
      <c r="D19" s="68"/>
      <c r="E19" s="68"/>
      <c r="F19" s="68"/>
      <c r="G19" s="68"/>
      <c r="H19" s="68"/>
      <c r="I19" s="68"/>
    </row>
    <row r="20" spans="1:9" x14ac:dyDescent="0.4">
      <c r="A20" s="29" t="s">
        <v>60</v>
      </c>
      <c r="B20" s="30">
        <f>BalanceSheet!B4/IncomeStatement!B7</f>
        <v>0.11596480201131364</v>
      </c>
      <c r="C20" s="30">
        <f>BalanceSheet!C4/IncomeStatement!C7</f>
        <v>8.6737122726839949E-2</v>
      </c>
      <c r="D20" s="62">
        <f>BalanceSheet!D4/IncomeStatement!D7</f>
        <v>6.3189663302838817E-2</v>
      </c>
      <c r="E20" s="30">
        <f>D20</f>
        <v>6.3189663302838817E-2</v>
      </c>
      <c r="F20" s="30">
        <f t="shared" ref="F20:H20" si="7">E20</f>
        <v>6.3189663302838817E-2</v>
      </c>
      <c r="G20" s="30">
        <f t="shared" si="7"/>
        <v>6.3189663302838817E-2</v>
      </c>
      <c r="H20" s="30">
        <f t="shared" si="7"/>
        <v>6.3189663302838817E-2</v>
      </c>
      <c r="I20" s="30">
        <f>H20</f>
        <v>6.3189663302838817E-2</v>
      </c>
    </row>
    <row r="21" spans="1:9" x14ac:dyDescent="0.4">
      <c r="A21" s="29" t="s">
        <v>61</v>
      </c>
      <c r="B21" s="30">
        <f>BalanceSheet!B5/IncomeStatement!B7</f>
        <v>0.14435365598156297</v>
      </c>
      <c r="C21" s="30">
        <f>BalanceSheet!C5/IncomeStatement!C7</f>
        <v>0.1466247738741312</v>
      </c>
      <c r="D21" s="62">
        <f>BalanceSheet!D5/IncomeStatement!D7</f>
        <v>0.14326134112986891</v>
      </c>
      <c r="E21" s="30">
        <f t="shared" ref="E21:I27" si="8">D21</f>
        <v>0.14326134112986891</v>
      </c>
      <c r="F21" s="30">
        <f t="shared" si="8"/>
        <v>0.14326134112986891</v>
      </c>
      <c r="G21" s="30">
        <f t="shared" si="8"/>
        <v>0.14326134112986891</v>
      </c>
      <c r="H21" s="30">
        <f t="shared" si="8"/>
        <v>0.14326134112986891</v>
      </c>
      <c r="I21" s="30">
        <f t="shared" si="8"/>
        <v>0.14326134112986891</v>
      </c>
    </row>
    <row r="22" spans="1:9" x14ac:dyDescent="0.4">
      <c r="A22" s="29" t="s">
        <v>62</v>
      </c>
      <c r="B22" s="30">
        <f>BalanceSheet!B6/IncomeStatement!B7</f>
        <v>2.336056987219778E-2</v>
      </c>
      <c r="C22" s="30">
        <f>BalanceSheet!C6/IncomeStatement!C7</f>
        <v>2.3707512139388747E-2</v>
      </c>
      <c r="D22" s="62">
        <f>BalanceSheet!D6/IncomeStatement!D7</f>
        <v>2.4898613599924551E-2</v>
      </c>
      <c r="E22" s="30">
        <f t="shared" si="8"/>
        <v>2.4898613599924551E-2</v>
      </c>
      <c r="F22" s="30">
        <f t="shared" si="8"/>
        <v>2.4898613599924551E-2</v>
      </c>
      <c r="G22" s="30">
        <f t="shared" si="8"/>
        <v>2.4898613599924551E-2</v>
      </c>
      <c r="H22" s="30">
        <f t="shared" si="8"/>
        <v>2.4898613599924551E-2</v>
      </c>
      <c r="I22" s="30">
        <f t="shared" si="8"/>
        <v>2.4898613599924551E-2</v>
      </c>
    </row>
    <row r="23" spans="1:9" x14ac:dyDescent="0.4">
      <c r="A23" s="29" t="s">
        <v>63</v>
      </c>
      <c r="B23" s="30">
        <f>BalanceSheet!B7/IncomeStatement!B7</f>
        <v>5.3530274460507017E-2</v>
      </c>
      <c r="C23" s="30">
        <f>BalanceSheet!C7/IncomeStatement!C7</f>
        <v>5.1318670855945922E-2</v>
      </c>
      <c r="D23" s="62">
        <f>BalanceSheet!D7/IncomeStatement!D7</f>
        <v>5.885126850891257E-2</v>
      </c>
      <c r="E23" s="30">
        <f t="shared" si="8"/>
        <v>5.885126850891257E-2</v>
      </c>
      <c r="F23" s="30">
        <f t="shared" si="8"/>
        <v>5.885126850891257E-2</v>
      </c>
      <c r="G23" s="30">
        <f t="shared" si="8"/>
        <v>5.885126850891257E-2</v>
      </c>
      <c r="H23" s="30">
        <f t="shared" si="8"/>
        <v>5.885126850891257E-2</v>
      </c>
      <c r="I23" s="30">
        <f t="shared" si="8"/>
        <v>5.885126850891257E-2</v>
      </c>
    </row>
    <row r="24" spans="1:9" x14ac:dyDescent="0.4">
      <c r="A24" s="29" t="s">
        <v>64</v>
      </c>
      <c r="B24" s="30">
        <f>BalanceSheet!B8/IncomeStatement!B7</f>
        <v>0.12151686570291222</v>
      </c>
      <c r="C24" s="30">
        <f>BalanceSheet!C8/IncomeStatement!C7</f>
        <v>0.12158430924497762</v>
      </c>
      <c r="D24" s="62">
        <f>BalanceSheet!D8/IncomeStatement!D7</f>
        <v>0.1108176931057248</v>
      </c>
      <c r="E24" s="30">
        <f t="shared" si="8"/>
        <v>0.1108176931057248</v>
      </c>
      <c r="F24" s="30">
        <f t="shared" si="8"/>
        <v>0.1108176931057248</v>
      </c>
      <c r="G24" s="30">
        <f t="shared" si="8"/>
        <v>0.1108176931057248</v>
      </c>
      <c r="H24" s="30">
        <f t="shared" si="8"/>
        <v>0.1108176931057248</v>
      </c>
      <c r="I24" s="30">
        <f t="shared" si="8"/>
        <v>0.1108176931057248</v>
      </c>
    </row>
    <row r="25" spans="1:9" x14ac:dyDescent="0.4">
      <c r="A25" s="29" t="s">
        <v>65</v>
      </c>
      <c r="B25" s="30">
        <f>BalanceSheet!B11/IncomeStatement!B7</f>
        <v>9.8365807668133243E-2</v>
      </c>
      <c r="C25" s="30">
        <f>BalanceSheet!C11/IncomeStatement!C7</f>
        <v>9.3306674283538032E-2</v>
      </c>
      <c r="D25" s="62">
        <f>BalanceSheet!D11/IncomeStatement!D7</f>
        <v>9.6576440630010377E-2</v>
      </c>
      <c r="E25" s="30">
        <f t="shared" si="8"/>
        <v>9.6576440630010377E-2</v>
      </c>
      <c r="F25" s="30">
        <f t="shared" si="8"/>
        <v>9.6576440630010377E-2</v>
      </c>
      <c r="G25" s="30">
        <f t="shared" si="8"/>
        <v>9.6576440630010377E-2</v>
      </c>
      <c r="H25" s="30">
        <f t="shared" si="8"/>
        <v>9.6576440630010377E-2</v>
      </c>
      <c r="I25" s="30">
        <f t="shared" si="8"/>
        <v>9.6576440630010377E-2</v>
      </c>
    </row>
    <row r="26" spans="1:9" x14ac:dyDescent="0.4">
      <c r="A26" s="29" t="s">
        <v>66</v>
      </c>
      <c r="B26" s="30">
        <f>BalanceSheet!B12/IncomeStatement!B7</f>
        <v>9.8575319505552067E-2</v>
      </c>
      <c r="C26" s="30">
        <f>BalanceSheet!C12/IncomeStatement!C7</f>
        <v>9.701989907645435E-2</v>
      </c>
      <c r="D26" s="62">
        <f>BalanceSheet!D12/IncomeStatement!D7</f>
        <v>8.4504385551259081E-2</v>
      </c>
      <c r="E26" s="30">
        <f t="shared" si="8"/>
        <v>8.4504385551259081E-2</v>
      </c>
      <c r="F26" s="30">
        <f t="shared" si="8"/>
        <v>8.4504385551259081E-2</v>
      </c>
      <c r="G26" s="30">
        <f t="shared" si="8"/>
        <v>8.4504385551259081E-2</v>
      </c>
      <c r="H26" s="30">
        <f t="shared" si="8"/>
        <v>8.4504385551259081E-2</v>
      </c>
      <c r="I26" s="30">
        <f t="shared" si="8"/>
        <v>8.4504385551259081E-2</v>
      </c>
    </row>
    <row r="27" spans="1:9" x14ac:dyDescent="0.4">
      <c r="A27" s="29" t="s">
        <v>67</v>
      </c>
      <c r="B27" s="30">
        <f>BalanceSheet!B13/IncomeStatement!B7</f>
        <v>0.43966059082338155</v>
      </c>
      <c r="C27" s="30">
        <f>BalanceSheet!C13/IncomeStatement!C7</f>
        <v>0.52147005617442632</v>
      </c>
      <c r="D27" s="62">
        <f>BalanceSheet!D13/IncomeStatement!D7</f>
        <v>0.65783268886164292</v>
      </c>
      <c r="E27" s="30">
        <f t="shared" si="8"/>
        <v>0.65783268886164292</v>
      </c>
      <c r="F27" s="30">
        <f t="shared" si="8"/>
        <v>0.65783268886164292</v>
      </c>
      <c r="G27" s="30">
        <f t="shared" si="8"/>
        <v>0.65783268886164292</v>
      </c>
      <c r="H27" s="30">
        <f t="shared" si="8"/>
        <v>0.65783268886164292</v>
      </c>
      <c r="I27" s="30">
        <f t="shared" si="8"/>
        <v>0.65783268886164292</v>
      </c>
    </row>
    <row r="29" spans="1:9" x14ac:dyDescent="0.4">
      <c r="A29" s="69" t="s">
        <v>68</v>
      </c>
      <c r="B29" s="69"/>
      <c r="C29" s="69"/>
      <c r="D29" s="69"/>
      <c r="E29" s="69"/>
      <c r="F29" s="69"/>
      <c r="G29" s="69"/>
      <c r="H29" s="69"/>
      <c r="I29" s="69"/>
    </row>
    <row r="30" spans="1:9" x14ac:dyDescent="0.4">
      <c r="A30" s="31" t="s">
        <v>69</v>
      </c>
      <c r="B30" s="32">
        <f>BalanceSheet!B18/IncomeStatement!B7</f>
        <v>1.6132411481248689E-2</v>
      </c>
      <c r="C30" s="32">
        <f>BalanceSheet!C18/IncomeStatement!C7</f>
        <v>5.5888793677996762E-2</v>
      </c>
      <c r="D30" s="63">
        <f>BalanceSheet!D18/IncomeStatement!D7</f>
        <v>6.3566915024049792E-2</v>
      </c>
      <c r="E30" s="32">
        <f>D30</f>
        <v>6.3566915024049792E-2</v>
      </c>
      <c r="F30" s="32">
        <f t="shared" ref="F30:I30" si="9">E30</f>
        <v>6.3566915024049792E-2</v>
      </c>
      <c r="G30" s="32">
        <f t="shared" si="9"/>
        <v>6.3566915024049792E-2</v>
      </c>
      <c r="H30" s="32">
        <f t="shared" si="9"/>
        <v>6.3566915024049792E-2</v>
      </c>
      <c r="I30" s="32">
        <f t="shared" si="9"/>
        <v>6.3566915024049792E-2</v>
      </c>
    </row>
    <row r="31" spans="1:9" x14ac:dyDescent="0.4">
      <c r="A31" s="33" t="s">
        <v>70</v>
      </c>
      <c r="B31" s="34">
        <f>BalanceSheet!B19/IncomeStatement!B7</f>
        <v>0.12926880368740834</v>
      </c>
      <c r="C31" s="34">
        <f>BalanceSheet!C19/IncomeStatement!C7</f>
        <v>0.11396743787489289</v>
      </c>
      <c r="D31" s="64">
        <f>BalanceSheet!D19/IncomeStatement!D7</f>
        <v>0.115910591342073</v>
      </c>
      <c r="E31" s="34">
        <f t="shared" ref="E31:I37" si="10">D31</f>
        <v>0.115910591342073</v>
      </c>
      <c r="F31" s="34">
        <f t="shared" si="10"/>
        <v>0.115910591342073</v>
      </c>
      <c r="G31" s="34">
        <f t="shared" si="10"/>
        <v>0.115910591342073</v>
      </c>
      <c r="H31" s="34">
        <f t="shared" si="10"/>
        <v>0.115910591342073</v>
      </c>
      <c r="I31" s="34">
        <f t="shared" si="10"/>
        <v>0.115910591342073</v>
      </c>
    </row>
    <row r="32" spans="1:9" x14ac:dyDescent="0.4">
      <c r="A32" s="33" t="s">
        <v>71</v>
      </c>
      <c r="B32" s="34">
        <f>BalanceSheet!B20/IncomeStatement!B7</f>
        <v>3.5512256442489003E-2</v>
      </c>
      <c r="C32" s="34">
        <f>BalanceSheet!C20/IncomeStatement!C7</f>
        <v>3.3799866704751026E-2</v>
      </c>
      <c r="D32" s="64">
        <f>BalanceSheet!D20/IncomeStatement!D7</f>
        <v>3.1406205790813921E-2</v>
      </c>
      <c r="E32" s="34">
        <f t="shared" si="10"/>
        <v>3.1406205790813921E-2</v>
      </c>
      <c r="F32" s="34">
        <f t="shared" si="10"/>
        <v>3.1406205790813921E-2</v>
      </c>
      <c r="G32" s="34">
        <f t="shared" si="10"/>
        <v>3.1406205790813921E-2</v>
      </c>
      <c r="H32" s="34">
        <f t="shared" si="10"/>
        <v>3.1406205790813921E-2</v>
      </c>
      <c r="I32" s="34">
        <f t="shared" si="10"/>
        <v>3.1406205790813921E-2</v>
      </c>
    </row>
    <row r="33" spans="1:9" x14ac:dyDescent="0.4">
      <c r="A33" s="33" t="s">
        <v>72</v>
      </c>
      <c r="B33" s="34">
        <f>BalanceSheet!B22/IncomeStatement!B7</f>
        <v>5.3949298135344645E-2</v>
      </c>
      <c r="C33" s="34">
        <f>BalanceSheet!C22/IncomeStatement!C7</f>
        <v>5.3413310482719224E-2</v>
      </c>
      <c r="D33" s="64">
        <f>BalanceSheet!D22/IncomeStatement!D7</f>
        <v>5.8568329718004339E-2</v>
      </c>
      <c r="E33" s="34">
        <f t="shared" si="10"/>
        <v>5.8568329718004339E-2</v>
      </c>
      <c r="F33" s="34">
        <f t="shared" si="10"/>
        <v>5.8568329718004339E-2</v>
      </c>
      <c r="G33" s="34">
        <f t="shared" si="10"/>
        <v>5.8568329718004339E-2</v>
      </c>
      <c r="H33" s="34">
        <f t="shared" si="10"/>
        <v>5.8568329718004339E-2</v>
      </c>
      <c r="I33" s="34">
        <f t="shared" si="10"/>
        <v>5.8568329718004339E-2</v>
      </c>
    </row>
    <row r="34" spans="1:9" x14ac:dyDescent="0.4">
      <c r="A34" s="33" t="s">
        <v>73</v>
      </c>
      <c r="B34" s="34">
        <f>BalanceSheet!B23/IncomeStatement!B7</f>
        <v>9.6375445212654523E-3</v>
      </c>
      <c r="C34" s="34">
        <f>BalanceSheet!C23/IncomeStatement!C7</f>
        <v>7.2360278015805007E-3</v>
      </c>
      <c r="D34" s="64">
        <f>BalanceSheet!D23/IncomeStatement!D7</f>
        <v>5.187211166650948E-3</v>
      </c>
      <c r="E34" s="34">
        <f t="shared" si="10"/>
        <v>5.187211166650948E-3</v>
      </c>
      <c r="F34" s="34">
        <f t="shared" si="10"/>
        <v>5.187211166650948E-3</v>
      </c>
      <c r="G34" s="34">
        <f t="shared" si="10"/>
        <v>5.187211166650948E-3</v>
      </c>
      <c r="H34" s="34">
        <f t="shared" si="10"/>
        <v>5.187211166650948E-3</v>
      </c>
      <c r="I34" s="34">
        <f t="shared" si="10"/>
        <v>5.187211166650948E-3</v>
      </c>
    </row>
    <row r="35" spans="1:9" x14ac:dyDescent="0.4">
      <c r="A35" s="33" t="s">
        <v>74</v>
      </c>
      <c r="B35" s="34">
        <f>BalanceSheet!B24/IncomeStatement!B7</f>
        <v>0.1228786926461345</v>
      </c>
      <c r="C35" s="34">
        <f>BalanceSheet!C24/IncomeStatement!C7</f>
        <v>0.12139388746072551</v>
      </c>
      <c r="D35" s="64">
        <f>BalanceSheet!D24/IncomeStatement!D7</f>
        <v>0.11364708101480712</v>
      </c>
      <c r="E35" s="34">
        <f t="shared" si="10"/>
        <v>0.11364708101480712</v>
      </c>
      <c r="F35" s="34">
        <f t="shared" si="10"/>
        <v>0.11364708101480712</v>
      </c>
      <c r="G35" s="34">
        <f t="shared" si="10"/>
        <v>0.11364708101480712</v>
      </c>
      <c r="H35" s="34">
        <f t="shared" si="10"/>
        <v>0.11364708101480712</v>
      </c>
      <c r="I35" s="34">
        <f t="shared" si="10"/>
        <v>0.11364708101480712</v>
      </c>
    </row>
    <row r="36" spans="1:9" x14ac:dyDescent="0.4">
      <c r="A36" s="33" t="s">
        <v>75</v>
      </c>
      <c r="B36" s="34">
        <f>BalanceSheet!B28/IncomeStatement!B7</f>
        <v>0.14885816048606745</v>
      </c>
      <c r="C36" s="34">
        <f>BalanceSheet!C28/IncomeStatement!C7</f>
        <v>0.15119489669618205</v>
      </c>
      <c r="D36" s="64">
        <f>BalanceSheet!D28/IncomeStatement!D7</f>
        <v>0.13769687824200699</v>
      </c>
      <c r="E36" s="34">
        <f t="shared" si="10"/>
        <v>0.13769687824200699</v>
      </c>
      <c r="F36" s="34">
        <f t="shared" si="10"/>
        <v>0.13769687824200699</v>
      </c>
      <c r="G36" s="34">
        <f t="shared" si="10"/>
        <v>0.13769687824200699</v>
      </c>
      <c r="H36" s="34">
        <f t="shared" si="10"/>
        <v>0.13769687824200699</v>
      </c>
      <c r="I36" s="34">
        <f t="shared" si="10"/>
        <v>0.13769687824200699</v>
      </c>
    </row>
    <row r="37" spans="1:9" x14ac:dyDescent="0.4">
      <c r="A37" s="35" t="s">
        <v>76</v>
      </c>
      <c r="B37" s="36">
        <f>BalanceSheet!B21/IncomeStatement!B7</f>
        <v>7.9614498219149378E-3</v>
      </c>
      <c r="C37" s="36">
        <f>BalanceSheet!C21/IncomeStatement!C7</f>
        <v>6.3791297724459682E-3</v>
      </c>
      <c r="D37" s="65">
        <f>BalanceSheet!D21/IncomeStatement!D7</f>
        <v>8.2052249363387727E-3</v>
      </c>
      <c r="E37" s="36">
        <f t="shared" si="10"/>
        <v>8.2052249363387727E-3</v>
      </c>
      <c r="F37" s="36">
        <f t="shared" si="10"/>
        <v>8.2052249363387727E-3</v>
      </c>
      <c r="G37" s="36">
        <f t="shared" si="10"/>
        <v>8.2052249363387727E-3</v>
      </c>
      <c r="H37" s="36">
        <f t="shared" si="10"/>
        <v>8.2052249363387727E-3</v>
      </c>
      <c r="I37" s="36">
        <f t="shared" si="10"/>
        <v>8.2052249363387727E-3</v>
      </c>
    </row>
  </sheetData>
  <mergeCells count="5">
    <mergeCell ref="A2:I2"/>
    <mergeCell ref="A9:I9"/>
    <mergeCell ref="A10:I10"/>
    <mergeCell ref="A19:I19"/>
    <mergeCell ref="A29:I29"/>
  </mergeCells>
  <pageMargins left="0.75" right="0.75" top="1" bottom="1" header="0.5" footer="0.5"/>
  <pageSetup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zoomScale="106" zoomScaleNormal="106" zoomScalePageLayoutView="150" workbookViewId="0">
      <selection activeCell="B20" sqref="B20"/>
    </sheetView>
  </sheetViews>
  <sheetFormatPr defaultColWidth="11" defaultRowHeight="19.5" x14ac:dyDescent="0.4"/>
  <cols>
    <col min="1" max="1" width="28.5" style="2" bestFit="1" customWidth="1"/>
    <col min="2" max="9" width="11.375" style="20" bestFit="1" customWidth="1"/>
  </cols>
  <sheetData>
    <row r="1" spans="1:9" x14ac:dyDescent="0.4">
      <c r="A1" s="37"/>
      <c r="B1" s="38" t="s">
        <v>94</v>
      </c>
      <c r="C1" s="38" t="s">
        <v>95</v>
      </c>
      <c r="D1" s="38" t="s">
        <v>96</v>
      </c>
      <c r="E1" s="38" t="s">
        <v>97</v>
      </c>
      <c r="F1" s="38" t="s">
        <v>98</v>
      </c>
      <c r="G1" s="38" t="s">
        <v>99</v>
      </c>
      <c r="H1" s="38" t="s">
        <v>100</v>
      </c>
      <c r="I1" s="38" t="s">
        <v>101</v>
      </c>
    </row>
    <row r="2" spans="1:9" x14ac:dyDescent="0.4">
      <c r="A2" s="9" t="s">
        <v>82</v>
      </c>
      <c r="B2" s="39"/>
      <c r="C2" s="39"/>
      <c r="D2" s="39"/>
      <c r="E2" s="40"/>
      <c r="F2" s="40"/>
      <c r="G2" s="40"/>
      <c r="H2" s="40"/>
      <c r="I2" s="40"/>
    </row>
    <row r="3" spans="1:9" x14ac:dyDescent="0.4">
      <c r="A3" s="41" t="s">
        <v>77</v>
      </c>
      <c r="B3" s="42">
        <f>IncomeStatement!B22/BalanceSheet!B15</f>
        <v>6.1017597551644986E-2</v>
      </c>
      <c r="C3" s="42">
        <f>IncomeStatement!C22/BalanceSheet!C15</f>
        <v>6.0957304869913277E-2</v>
      </c>
      <c r="D3" s="42">
        <f>IncomeStatement!D22/BalanceSheet!D15</f>
        <v>4.4725032326766563E-2</v>
      </c>
      <c r="E3" s="43">
        <f ca="1">IncomeStatement!E22/BalanceSheet!E15</f>
        <v>4.483381630852E-2</v>
      </c>
      <c r="F3" s="43">
        <f ca="1">IncomeStatement!F22/BalanceSheet!F15</f>
        <v>4.4934511543431588E-2</v>
      </c>
      <c r="G3" s="43">
        <f ca="1">IncomeStatement!G22/BalanceSheet!G15</f>
        <v>4.5027719478740118E-2</v>
      </c>
      <c r="H3" s="43">
        <f ca="1">IncomeStatement!H22/BalanceSheet!H15</f>
        <v>4.5113996840445592E-2</v>
      </c>
      <c r="I3" s="43">
        <f ca="1">IncomeStatement!I22/BalanceSheet!I15</f>
        <v>4.5193858958603408E-2</v>
      </c>
    </row>
    <row r="4" spans="1:9" x14ac:dyDescent="0.4">
      <c r="A4" s="2" t="s">
        <v>78</v>
      </c>
      <c r="B4" s="44">
        <f>IncomeStatement!B22/BalanceSheet!B30</f>
        <v>0.14889148191365228</v>
      </c>
      <c r="C4" s="44">
        <f>IncomeStatement!C22/BalanceSheet!C30</f>
        <v>0.14576271186440679</v>
      </c>
      <c r="D4" s="44">
        <f>IncomeStatement!D22/BalanceSheet!D30</f>
        <v>0.10492505353319058</v>
      </c>
      <c r="E4" s="45">
        <f ca="1">IncomeStatement!E22/BalanceSheet!E30</f>
        <v>0.10370033592575502</v>
      </c>
      <c r="F4" s="45">
        <f ca="1">IncomeStatement!F22/BalanceSheet!F30</f>
        <v>0.10259700434565722</v>
      </c>
      <c r="G4" s="45">
        <f ca="1">IncomeStatement!G22/BalanceSheet!G30</f>
        <v>0.10160069935036237</v>
      </c>
      <c r="H4" s="45">
        <f ca="1">IncomeStatement!H22/BalanceSheet!H30</f>
        <v>0.10069913638739421</v>
      </c>
      <c r="I4" s="45">
        <f ca="1">IncomeStatement!I22/BalanceSheet!I30</f>
        <v>9.9881745143919287E-2</v>
      </c>
    </row>
    <row r="5" spans="1:9" x14ac:dyDescent="0.4">
      <c r="A5" s="2" t="s">
        <v>79</v>
      </c>
      <c r="B5" s="44">
        <f>IncomeStatement!B18/IncomeStatement!B7</f>
        <v>8.8413995390739575E-2</v>
      </c>
      <c r="C5" s="44">
        <f>IncomeStatement!C18/IncomeStatement!C7</f>
        <v>9.1116823764638671E-2</v>
      </c>
      <c r="D5" s="44">
        <f>IncomeStatement!D18/IncomeStatement!D7</f>
        <v>7.5921908893709325E-2</v>
      </c>
      <c r="E5" s="45">
        <f>IncomeStatement!E18/IncomeStatement!E7</f>
        <v>7.5921908893709159E-2</v>
      </c>
      <c r="F5" s="45">
        <f>IncomeStatement!F18/IncomeStatement!F7</f>
        <v>7.592190889370927E-2</v>
      </c>
      <c r="G5" s="45">
        <f>IncomeStatement!G18/IncomeStatement!G7</f>
        <v>7.5921908893709311E-2</v>
      </c>
      <c r="H5" s="45">
        <f>IncomeStatement!H18/IncomeStatement!H7</f>
        <v>7.5921908893709339E-2</v>
      </c>
      <c r="I5" s="45">
        <f>IncomeStatement!I18/IncomeStatement!I7</f>
        <v>7.5921908893709394E-2</v>
      </c>
    </row>
    <row r="6" spans="1:9" x14ac:dyDescent="0.4">
      <c r="A6" s="46" t="s">
        <v>80</v>
      </c>
      <c r="B6" s="47">
        <f>IncomeStatement!B22/IncomeStatement!B7</f>
        <v>6.6834276136601714E-2</v>
      </c>
      <c r="C6" s="47">
        <f>IncomeStatement!C22/IncomeStatement!C7</f>
        <v>6.9599162144149296E-2</v>
      </c>
      <c r="D6" s="47">
        <f>IncomeStatement!D22/IncomeStatement!D7</f>
        <v>5.5456003018013768E-2</v>
      </c>
      <c r="E6" s="48">
        <f ca="1">IncomeStatement!E22/IncomeStatement!E7</f>
        <v>5.5590887768378047E-2</v>
      </c>
      <c r="F6" s="48">
        <f ca="1">IncomeStatement!F22/IncomeStatement!F7</f>
        <v>5.5715743021927291E-2</v>
      </c>
      <c r="G6" s="48">
        <f ca="1">IncomeStatement!G22/IncomeStatement!G7</f>
        <v>5.5831314532396155E-2</v>
      </c>
      <c r="H6" s="48">
        <f ca="1">IncomeStatement!H22/IncomeStatement!H7</f>
        <v>5.5938292602219948E-2</v>
      </c>
      <c r="I6" s="48">
        <f ca="1">IncomeStatement!I22/IncomeStatement!I7</f>
        <v>5.6037316205673766E-2</v>
      </c>
    </row>
    <row r="7" spans="1:9" x14ac:dyDescent="0.4">
      <c r="A7" s="3" t="s">
        <v>81</v>
      </c>
      <c r="B7" s="49"/>
      <c r="C7" s="49"/>
      <c r="D7" s="49"/>
      <c r="E7" s="50"/>
      <c r="F7" s="50"/>
      <c r="G7" s="50"/>
      <c r="H7" s="50"/>
      <c r="I7" s="50"/>
    </row>
    <row r="8" spans="1:9" x14ac:dyDescent="0.4">
      <c r="A8" s="41" t="s">
        <v>83</v>
      </c>
      <c r="B8" s="51">
        <f>BalanceSheet!B9/BalanceSheet!B25</f>
        <v>1.2221602009489254</v>
      </c>
      <c r="C8" s="51">
        <f>BalanceSheet!C9/BalanceSheet!C25</f>
        <v>1.0966488586692569</v>
      </c>
      <c r="D8" s="51">
        <f>BalanceSheet!D9/BalanceSheet!D25</f>
        <v>1.0114176974310181</v>
      </c>
      <c r="E8" s="52">
        <f>BalanceSheet!E9/BalanceSheet!E25</f>
        <v>1.0114176974310183</v>
      </c>
      <c r="F8" s="52">
        <f>BalanceSheet!F9/BalanceSheet!F25</f>
        <v>1.0114176974310183</v>
      </c>
      <c r="G8" s="52">
        <f>BalanceSheet!G9/BalanceSheet!G25</f>
        <v>1.0114176974310181</v>
      </c>
      <c r="H8" s="52">
        <f>BalanceSheet!H9/BalanceSheet!H25</f>
        <v>1.0114176974310181</v>
      </c>
      <c r="I8" s="52">
        <f>BalanceSheet!I9/BalanceSheet!I25</f>
        <v>1.0114176974310181</v>
      </c>
    </row>
    <row r="9" spans="1:9" x14ac:dyDescent="0.4">
      <c r="A9" s="2" t="s">
        <v>84</v>
      </c>
      <c r="B9" s="53">
        <f>(BalanceSheet!B9-BalanceSheet!B7)/BalanceSheet!B25</f>
        <v>1.0795422830030701</v>
      </c>
      <c r="C9" s="53">
        <f>(BalanceSheet!C9-BalanceSheet!C7)/BalanceSheet!C25</f>
        <v>0.96576007770762506</v>
      </c>
      <c r="D9" s="53">
        <f>(BalanceSheet!D9-BalanceSheet!D7)/BalanceSheet!D25</f>
        <v>0.86298763082778307</v>
      </c>
      <c r="E9" s="54">
        <f>(BalanceSheet!E9-BalanceSheet!E7)/BalanceSheet!E25</f>
        <v>0.86298763082778329</v>
      </c>
      <c r="F9" s="54">
        <f>(BalanceSheet!F9-BalanceSheet!F7)/BalanceSheet!F25</f>
        <v>0.86298763082778329</v>
      </c>
      <c r="G9" s="54">
        <f>(BalanceSheet!G9-BalanceSheet!G7)/BalanceSheet!G25</f>
        <v>0.86298763082778307</v>
      </c>
      <c r="H9" s="54">
        <f>(BalanceSheet!H9-BalanceSheet!H7)/BalanceSheet!H25</f>
        <v>0.86298763082778307</v>
      </c>
      <c r="I9" s="54">
        <f>(BalanceSheet!I9-BalanceSheet!I7)/BalanceSheet!I25</f>
        <v>0.86298763082778307</v>
      </c>
    </row>
    <row r="10" spans="1:9" x14ac:dyDescent="0.4">
      <c r="A10" s="2" t="s">
        <v>85</v>
      </c>
      <c r="B10" s="53">
        <f>(BalanceSheet!B18+BalanceSheet!B27)/BalanceSheet!B30</f>
        <v>0.30781796966161029</v>
      </c>
      <c r="C10" s="53">
        <f>(BalanceSheet!C18+BalanceSheet!C27)/BalanceSheet!C30</f>
        <v>0.3706879361914257</v>
      </c>
      <c r="D10" s="53">
        <f>(BalanceSheet!D18+BalanceSheet!D27)/BalanceSheet!D30</f>
        <v>0.45556745182012848</v>
      </c>
      <c r="E10" s="54">
        <f ca="1">(BalanceSheet!E18+BalanceSheet!E27)/BalanceSheet!E30</f>
        <v>0.43508707991416468</v>
      </c>
      <c r="F10" s="54">
        <f ca="1">(BalanceSheet!F18+BalanceSheet!F27)/BalanceSheet!F30</f>
        <v>0.4166365889937958</v>
      </c>
      <c r="G10" s="54">
        <f ca="1">(BalanceSheet!G18+BalanceSheet!G27)/BalanceSheet!G30</f>
        <v>0.39997585290938636</v>
      </c>
      <c r="H10" s="54">
        <f ca="1">(BalanceSheet!H18+BalanceSheet!H27)/BalanceSheet!H30</f>
        <v>0.38489944291402528</v>
      </c>
      <c r="I10" s="54">
        <f ca="1">(BalanceSheet!I18+BalanceSheet!I27)/BalanceSheet!I30</f>
        <v>0.37123059667762437</v>
      </c>
    </row>
    <row r="11" spans="1:9" x14ac:dyDescent="0.4">
      <c r="A11" s="46" t="s">
        <v>87</v>
      </c>
      <c r="B11" s="55">
        <f>IncomeStatement!B18/IncomeStatement!B19</f>
        <v>14.066666666666666</v>
      </c>
      <c r="C11" s="55">
        <f>IncomeStatement!C18/IncomeStatement!C19</f>
        <v>22.785714285714285</v>
      </c>
      <c r="D11" s="55">
        <f>IncomeStatement!D18/IncomeStatement!D19</f>
        <v>13.879310344827585</v>
      </c>
      <c r="E11" s="56">
        <f ca="1">IncomeStatement!E18/IncomeStatement!E19</f>
        <v>14.328156183343001</v>
      </c>
      <c r="F11" s="56">
        <f ca="1">IncomeStatement!F18/IncomeStatement!F19</f>
        <v>14.770298997873677</v>
      </c>
      <c r="G11" s="56">
        <f ca="1">IncomeStatement!G18/IncomeStatement!G19</f>
        <v>15.204600412638571</v>
      </c>
      <c r="H11" s="56">
        <f ca="1">IncomeStatement!H18/IncomeStatement!H19</f>
        <v>15.630007893697634</v>
      </c>
      <c r="I11" s="56">
        <f ca="1">IncomeStatement!I18/IncomeStatement!I19</f>
        <v>16.045563409730512</v>
      </c>
    </row>
    <row r="12" spans="1:9" x14ac:dyDescent="0.4">
      <c r="A12" s="3" t="s">
        <v>86</v>
      </c>
      <c r="B12" s="49"/>
      <c r="C12" s="49"/>
      <c r="D12" s="49"/>
      <c r="E12" s="50"/>
      <c r="F12" s="50"/>
      <c r="G12" s="50"/>
      <c r="H12" s="50"/>
      <c r="I12" s="50"/>
    </row>
    <row r="13" spans="1:9" x14ac:dyDescent="0.4">
      <c r="A13" s="41" t="s">
        <v>88</v>
      </c>
      <c r="B13" s="51">
        <f>IncomeStatement!B7/BalanceSheet!B15</f>
        <v>0.91296863045141541</v>
      </c>
      <c r="C13" s="51">
        <f>IncomeStatement!C7/BalanceSheet!C15</f>
        <v>0.87583388925950634</v>
      </c>
      <c r="D13" s="51">
        <f>IncomeStatement!D7/BalanceSheet!D15</f>
        <v>0.80649577850460186</v>
      </c>
      <c r="E13" s="52">
        <f>IncomeStatement!E7/BalanceSheet!E15</f>
        <v>0.80649577850460186</v>
      </c>
      <c r="F13" s="52">
        <f>IncomeStatement!F7/BalanceSheet!F15</f>
        <v>0.80649577850460186</v>
      </c>
      <c r="G13" s="52">
        <f>IncomeStatement!G7/BalanceSheet!G15</f>
        <v>0.80649577850460163</v>
      </c>
      <c r="H13" s="52">
        <f>IncomeStatement!H7/BalanceSheet!H15</f>
        <v>0.80649577850460197</v>
      </c>
      <c r="I13" s="52">
        <f>IncomeStatement!I7/BalanceSheet!I15</f>
        <v>0.80649577850460197</v>
      </c>
    </row>
    <row r="14" spans="1:9" x14ac:dyDescent="0.4">
      <c r="A14" s="2" t="s">
        <v>89</v>
      </c>
      <c r="B14" s="53">
        <f>(IncomeStatement!B10+IncomeStatement!B11+IncomeStatement!B12)/BalanceSheet!B7</f>
        <v>14.268101761252446</v>
      </c>
      <c r="C14" s="53">
        <f>(IncomeStatement!C10+IncomeStatement!C11+IncomeStatement!C12)/BalanceSheet!C7</f>
        <v>14.834879406307978</v>
      </c>
      <c r="D14" s="53">
        <f>(IncomeStatement!D10+IncomeStatement!D11+IncomeStatement!D12)/BalanceSheet!D7</f>
        <v>13.025641025641026</v>
      </c>
      <c r="E14" s="54">
        <f>(IncomeStatement!E10+IncomeStatement!E11+IncomeStatement!E12)/BalanceSheet!E7</f>
        <v>13.025641025641026</v>
      </c>
      <c r="F14" s="54">
        <f>(IncomeStatement!F10+IncomeStatement!F11+IncomeStatement!F12)/BalanceSheet!F7</f>
        <v>13.025641025641026</v>
      </c>
      <c r="G14" s="54">
        <f>(IncomeStatement!G10+IncomeStatement!G11+IncomeStatement!G12)/BalanceSheet!G7</f>
        <v>13.025641025641027</v>
      </c>
      <c r="H14" s="54">
        <f>(IncomeStatement!H10+IncomeStatement!H11+IncomeStatement!H12)/BalanceSheet!H7</f>
        <v>13.025641025641026</v>
      </c>
      <c r="I14" s="54">
        <f>(IncomeStatement!I10+IncomeStatement!I11+IncomeStatement!I12)/BalanceSheet!I7</f>
        <v>13.025641025641026</v>
      </c>
    </row>
    <row r="15" spans="1:9" x14ac:dyDescent="0.4">
      <c r="A15" s="46" t="s">
        <v>90</v>
      </c>
      <c r="B15" s="57">
        <f>(BalanceSheet!B5+BalanceSheet!B6)/(IncomeStatement!B7/360)</f>
        <v>60.377121307353868</v>
      </c>
      <c r="C15" s="57">
        <f>(BalanceSheet!C5+BalanceSheet!C6)/(IncomeStatement!C7/360)</f>
        <v>61.319622964867179</v>
      </c>
      <c r="D15" s="57">
        <f>(BalanceSheet!D5+BalanceSheet!D6)/(IncomeStatement!D7/360)</f>
        <v>60.537583702725641</v>
      </c>
      <c r="E15" s="58">
        <f>(BalanceSheet!E5+BalanceSheet!E6)/(IncomeStatement!E7/360)</f>
        <v>60.537583702725641</v>
      </c>
      <c r="F15" s="58">
        <f>(BalanceSheet!F5+BalanceSheet!F6)/(IncomeStatement!F7/360)</f>
        <v>60.537583702725648</v>
      </c>
      <c r="G15" s="58">
        <f>(BalanceSheet!G5+BalanceSheet!G6)/(IncomeStatement!G7/360)</f>
        <v>60.537583702725655</v>
      </c>
      <c r="H15" s="58">
        <f>(BalanceSheet!H5+BalanceSheet!H6)/(IncomeStatement!H7/360)</f>
        <v>60.537583702725655</v>
      </c>
      <c r="I15" s="58">
        <f>(BalanceSheet!I5+BalanceSheet!I6)/(IncomeStatement!I7/360)</f>
        <v>60.537583702725641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" defaultRowHeight="15.75" x14ac:dyDescent="0.2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IncomeStatement</vt:lpstr>
      <vt:lpstr>BalanceSheet</vt:lpstr>
      <vt:lpstr>Rate and Percentage Forecast</vt:lpstr>
      <vt:lpstr>Ratio Analysis</vt:lpstr>
      <vt:lpstr>Sheet5</vt:lpstr>
    </vt:vector>
  </TitlesOfParts>
  <Company>Sobey School of Business - SMU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Rahaman</dc:creator>
  <cp:lastModifiedBy>Mohammad Rahaman</cp:lastModifiedBy>
  <dcterms:created xsi:type="dcterms:W3CDTF">2015-01-03T03:21:42Z</dcterms:created>
  <dcterms:modified xsi:type="dcterms:W3CDTF">2023-03-13T15:09:16Z</dcterms:modified>
</cp:coreProperties>
</file>