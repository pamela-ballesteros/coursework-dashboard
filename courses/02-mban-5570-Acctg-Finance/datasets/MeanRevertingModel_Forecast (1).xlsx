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Dropbox\Course Materials\SMU2024_2025\MBAN5570\Lecture Notes\Finanical Modelling and Forecasting\"/>
    </mc:Choice>
  </mc:AlternateContent>
  <xr:revisionPtr revIDLastSave="0" documentId="13_ncr:1_{CE482E06-00B7-4408-9CBB-016D8CBFD752}" xr6:coauthVersionLast="47" xr6:coauthVersionMax="47" xr10:uidLastSave="{00000000-0000-0000-0000-000000000000}"/>
  <bookViews>
    <workbookView xWindow="38280" yWindow="-120" windowWidth="29040" windowHeight="15840" activeTab="2" xr2:uid="{00000000-000D-0000-FFFF-FFFF00000000}"/>
  </bookViews>
  <sheets>
    <sheet name="S&amp;P500 Index" sheetId="5" r:id="rId1"/>
    <sheet name="Annual20" sheetId="3" r:id="rId2"/>
    <sheet name="Model " sheetId="1" r:id="rId3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anualCount" hidden="1">12</definedName>
    <definedName name="_AtRisk_SimSetting_MultipleCPUMode" hidden="1">1</definedName>
    <definedName name="_AtRisk_SimSetting_MultipleCPUModeV8" hidden="1">1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0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2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Pal_Workbook_GUID" hidden="1">"S4D2HU1U3NDX8QMGYVG714UM"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IsStatistics" hidden="1">FALSE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5</definedName>
    <definedName name="RiskPauseOnError" hidden="1">FALSE</definedName>
    <definedName name="RiskRealTimeResults">FALSE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StatFunctionsUpdateFreq">1</definedName>
    <definedName name="RiskUpdateDisplay" hidden="1">FALSE</definedName>
    <definedName name="RiskUpdateStatFunctions">TRUE</definedName>
    <definedName name="RiskUseDifferentSeedForEachSim" hidden="1">FALSE</definedName>
    <definedName name="RiskUseFixedSeed" hidden="1">TRUE</definedName>
    <definedName name="RiskUseMultipleCPUs" hidden="1">TRUE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C78" i="5" l="1"/>
  <c r="C77" i="5"/>
  <c r="C76" i="5"/>
  <c r="C75" i="5"/>
  <c r="C74" i="5"/>
  <c r="C73" i="5"/>
  <c r="D75" i="5" s="1"/>
  <c r="C72" i="5"/>
  <c r="D76" i="5" s="1"/>
  <c r="C71" i="5"/>
  <c r="C70" i="5"/>
  <c r="C69" i="5"/>
  <c r="C68" i="5"/>
  <c r="C67" i="5"/>
  <c r="C66" i="5"/>
  <c r="C65" i="5"/>
  <c r="E74" i="5" s="1"/>
  <c r="C64" i="5"/>
  <c r="C63" i="5"/>
  <c r="C62" i="5"/>
  <c r="C61" i="5"/>
  <c r="C60" i="5"/>
  <c r="C59" i="5"/>
  <c r="H74" i="5" s="1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F27" i="1"/>
  <c r="G27" i="1" s="1"/>
  <c r="F24" i="1"/>
  <c r="G24" i="1" s="1"/>
  <c r="F26" i="1"/>
  <c r="G26" i="1" s="1"/>
  <c r="F35" i="1"/>
  <c r="G35" i="1" s="1"/>
  <c r="F33" i="1"/>
  <c r="G33" i="1" s="1"/>
  <c r="F25" i="1"/>
  <c r="G25" i="1" s="1"/>
  <c r="F40" i="1"/>
  <c r="G40" i="1" s="1"/>
  <c r="F31" i="1"/>
  <c r="G31" i="1" s="1"/>
  <c r="F30" i="1"/>
  <c r="G30" i="1" s="1"/>
  <c r="F28" i="1"/>
  <c r="G28" i="1" s="1"/>
  <c r="F42" i="1"/>
  <c r="G42" i="1" s="1"/>
  <c r="F34" i="1"/>
  <c r="G34" i="1" s="1"/>
  <c r="F37" i="1"/>
  <c r="G37" i="1" s="1"/>
  <c r="F38" i="1"/>
  <c r="G38" i="1" s="1"/>
  <c r="F43" i="1"/>
  <c r="G43" i="1" s="1"/>
  <c r="F29" i="1"/>
  <c r="G29" i="1" s="1"/>
  <c r="F32" i="1"/>
  <c r="G32" i="1" s="1"/>
  <c r="F36" i="1"/>
  <c r="G36" i="1" s="1"/>
  <c r="F39" i="1"/>
  <c r="G39" i="1" s="1"/>
  <c r="F41" i="1"/>
  <c r="G41" i="1" s="1"/>
  <c r="D24" i="1"/>
  <c r="E24" i="1"/>
  <c r="D22" i="5"/>
  <c r="I54" i="5"/>
  <c r="I72" i="5"/>
  <c r="I41" i="5"/>
  <c r="F22" i="5"/>
  <c r="I60" i="5"/>
  <c r="D13" i="5"/>
  <c r="I45" i="5"/>
  <c r="I66" i="5"/>
  <c r="H19" i="5"/>
  <c r="F29" i="5"/>
  <c r="I43" i="5"/>
  <c r="F47" i="5"/>
  <c r="I63" i="5"/>
  <c r="I75" i="5"/>
  <c r="G77" i="5"/>
  <c r="H20" i="5"/>
  <c r="D20" i="5"/>
  <c r="F39" i="5"/>
  <c r="H32" i="5"/>
  <c r="F59" i="5"/>
  <c r="F71" i="5"/>
  <c r="E78" i="5"/>
  <c r="H21" i="5"/>
  <c r="D24" i="5"/>
  <c r="I52" i="5"/>
  <c r="I64" i="5"/>
  <c r="I76" i="5"/>
  <c r="G78" i="5"/>
  <c r="H23" i="5"/>
  <c r="E17" i="5"/>
  <c r="F41" i="5"/>
  <c r="I55" i="5"/>
  <c r="I67" i="5"/>
  <c r="I38" i="5"/>
  <c r="I47" i="5"/>
  <c r="F51" i="5"/>
  <c r="F63" i="5"/>
  <c r="F75" i="5"/>
  <c r="D77" i="5"/>
  <c r="I30" i="5"/>
  <c r="D23" i="5"/>
  <c r="G27" i="5"/>
  <c r="I57" i="5"/>
  <c r="I69" i="5"/>
  <c r="H76" i="5"/>
  <c r="D78" i="5"/>
  <c r="I40" i="5"/>
  <c r="I48" i="5"/>
  <c r="F53" i="5"/>
  <c r="F65" i="5"/>
  <c r="F77" i="5"/>
  <c r="F27" i="5"/>
  <c r="E20" i="5"/>
  <c r="F44" i="5"/>
  <c r="I59" i="5"/>
  <c r="I71" i="5"/>
  <c r="H78" i="5"/>
  <c r="D12" i="5"/>
  <c r="E29" i="5"/>
  <c r="I33" i="5"/>
  <c r="I42" i="5"/>
  <c r="I50" i="5"/>
  <c r="F56" i="5"/>
  <c r="F68" i="5"/>
  <c r="E75" i="5"/>
  <c r="E22" i="5"/>
  <c r="I51" i="5"/>
  <c r="I62" i="5"/>
  <c r="I74" i="5"/>
  <c r="G76" i="5"/>
  <c r="I25" i="5"/>
  <c r="F34" i="5"/>
  <c r="D36" i="5"/>
  <c r="I37" i="5"/>
  <c r="G39" i="5"/>
  <c r="E41" i="5"/>
  <c r="H44" i="5"/>
  <c r="F46" i="5"/>
  <c r="D48" i="5"/>
  <c r="I49" i="5"/>
  <c r="G51" i="5"/>
  <c r="E53" i="5"/>
  <c r="H56" i="5"/>
  <c r="F58" i="5"/>
  <c r="D60" i="5"/>
  <c r="I61" i="5"/>
  <c r="G63" i="5"/>
  <c r="E65" i="5"/>
  <c r="H68" i="5"/>
  <c r="F70" i="5"/>
  <c r="D72" i="5"/>
  <c r="I73" i="5"/>
  <c r="G75" i="5"/>
  <c r="E77" i="5"/>
  <c r="F20" i="5"/>
  <c r="E24" i="5"/>
  <c r="H27" i="5"/>
  <c r="D31" i="5"/>
  <c r="I32" i="5"/>
  <c r="G34" i="5"/>
  <c r="E36" i="5"/>
  <c r="H39" i="5"/>
  <c r="D43" i="5"/>
  <c r="I44" i="5"/>
  <c r="G46" i="5"/>
  <c r="E48" i="5"/>
  <c r="H51" i="5"/>
  <c r="D55" i="5"/>
  <c r="I56" i="5"/>
  <c r="G58" i="5"/>
  <c r="E60" i="5"/>
  <c r="H63" i="5"/>
  <c r="D67" i="5"/>
  <c r="I68" i="5"/>
  <c r="G70" i="5"/>
  <c r="E72" i="5"/>
  <c r="H75" i="5"/>
  <c r="D14" i="5"/>
  <c r="D18" i="5"/>
  <c r="G20" i="5"/>
  <c r="G22" i="5"/>
  <c r="F24" i="5"/>
  <c r="D26" i="5"/>
  <c r="I27" i="5"/>
  <c r="G29" i="5"/>
  <c r="E31" i="5"/>
  <c r="H34" i="5"/>
  <c r="F36" i="5"/>
  <c r="D38" i="5"/>
  <c r="I39" i="5"/>
  <c r="G41" i="5"/>
  <c r="E43" i="5"/>
  <c r="H46" i="5"/>
  <c r="F48" i="5"/>
  <c r="D50" i="5"/>
  <c r="G53" i="5"/>
  <c r="E55" i="5"/>
  <c r="H58" i="5"/>
  <c r="F60" i="5"/>
  <c r="D62" i="5"/>
  <c r="G65" i="5"/>
  <c r="E67" i="5"/>
  <c r="H70" i="5"/>
  <c r="F72" i="5"/>
  <c r="D74" i="5"/>
  <c r="E14" i="5"/>
  <c r="E18" i="5"/>
  <c r="H22" i="5"/>
  <c r="G24" i="5"/>
  <c r="E26" i="5"/>
  <c r="H29" i="5"/>
  <c r="F31" i="5"/>
  <c r="D33" i="5"/>
  <c r="I34" i="5"/>
  <c r="G36" i="5"/>
  <c r="E38" i="5"/>
  <c r="H41" i="5"/>
  <c r="F43" i="5"/>
  <c r="D45" i="5"/>
  <c r="I46" i="5"/>
  <c r="G48" i="5"/>
  <c r="E50" i="5"/>
  <c r="H53" i="5"/>
  <c r="F55" i="5"/>
  <c r="D57" i="5"/>
  <c r="I58" i="5"/>
  <c r="G60" i="5"/>
  <c r="E62" i="5"/>
  <c r="H65" i="5"/>
  <c r="F67" i="5"/>
  <c r="D69" i="5"/>
  <c r="I70" i="5"/>
  <c r="G72" i="5"/>
  <c r="H77" i="5"/>
  <c r="D9" i="5"/>
  <c r="H24" i="5"/>
  <c r="F26" i="5"/>
  <c r="D28" i="5"/>
  <c r="I29" i="5"/>
  <c r="G31" i="5"/>
  <c r="E33" i="5"/>
  <c r="H36" i="5"/>
  <c r="F38" i="5"/>
  <c r="D40" i="5"/>
  <c r="G43" i="5"/>
  <c r="E45" i="5"/>
  <c r="H48" i="5"/>
  <c r="F50" i="5"/>
  <c r="D52" i="5"/>
  <c r="I53" i="5"/>
  <c r="G55" i="5"/>
  <c r="E57" i="5"/>
  <c r="H60" i="5"/>
  <c r="F62" i="5"/>
  <c r="D64" i="5"/>
  <c r="I65" i="5"/>
  <c r="G67" i="5"/>
  <c r="E69" i="5"/>
  <c r="H72" i="5"/>
  <c r="F74" i="5"/>
  <c r="I77" i="5"/>
  <c r="D15" i="5"/>
  <c r="D19" i="5"/>
  <c r="D21" i="5"/>
  <c r="I24" i="5"/>
  <c r="G26" i="5"/>
  <c r="E28" i="5"/>
  <c r="H31" i="5"/>
  <c r="F33" i="5"/>
  <c r="D35" i="5"/>
  <c r="I36" i="5"/>
  <c r="G38" i="5"/>
  <c r="E40" i="5"/>
  <c r="H43" i="5"/>
  <c r="F45" i="5"/>
  <c r="D47" i="5"/>
  <c r="G50" i="5"/>
  <c r="E52" i="5"/>
  <c r="H55" i="5"/>
  <c r="F57" i="5"/>
  <c r="D59" i="5"/>
  <c r="G62" i="5"/>
  <c r="E64" i="5"/>
  <c r="H67" i="5"/>
  <c r="F69" i="5"/>
  <c r="D71" i="5"/>
  <c r="G74" i="5"/>
  <c r="E76" i="5"/>
  <c r="D10" i="5"/>
  <c r="E15" i="5"/>
  <c r="E19" i="5"/>
  <c r="E21" i="5"/>
  <c r="H26" i="5"/>
  <c r="F28" i="5"/>
  <c r="D30" i="5"/>
  <c r="I31" i="5"/>
  <c r="G33" i="5"/>
  <c r="E35" i="5"/>
  <c r="H38" i="5"/>
  <c r="F40" i="5"/>
  <c r="D42" i="5"/>
  <c r="G45" i="5"/>
  <c r="E47" i="5"/>
  <c r="H50" i="5"/>
  <c r="F52" i="5"/>
  <c r="D54" i="5"/>
  <c r="G57" i="5"/>
  <c r="E59" i="5"/>
  <c r="H62" i="5"/>
  <c r="F64" i="5"/>
  <c r="D66" i="5"/>
  <c r="G69" i="5"/>
  <c r="E71" i="5"/>
  <c r="F76" i="5"/>
  <c r="F19" i="5"/>
  <c r="F21" i="5"/>
  <c r="E23" i="5"/>
  <c r="D25" i="5"/>
  <c r="I26" i="5"/>
  <c r="G28" i="5"/>
  <c r="E30" i="5"/>
  <c r="H33" i="5"/>
  <c r="F35" i="5"/>
  <c r="D37" i="5"/>
  <c r="G40" i="5"/>
  <c r="E42" i="5"/>
  <c r="H45" i="5"/>
  <c r="D49" i="5"/>
  <c r="G52" i="5"/>
  <c r="E54" i="5"/>
  <c r="H57" i="5"/>
  <c r="D61" i="5"/>
  <c r="G64" i="5"/>
  <c r="E66" i="5"/>
  <c r="H69" i="5"/>
  <c r="D73" i="5"/>
  <c r="D11" i="5"/>
  <c r="D16" i="5"/>
  <c r="G19" i="5"/>
  <c r="G21" i="5"/>
  <c r="F23" i="5"/>
  <c r="E25" i="5"/>
  <c r="H28" i="5"/>
  <c r="F30" i="5"/>
  <c r="D32" i="5"/>
  <c r="G35" i="5"/>
  <c r="E37" i="5"/>
  <c r="H40" i="5"/>
  <c r="F42" i="5"/>
  <c r="D44" i="5"/>
  <c r="G47" i="5"/>
  <c r="E49" i="5"/>
  <c r="H52" i="5"/>
  <c r="F54" i="5"/>
  <c r="D56" i="5"/>
  <c r="G59" i="5"/>
  <c r="E61" i="5"/>
  <c r="H64" i="5"/>
  <c r="F66" i="5"/>
  <c r="D68" i="5"/>
  <c r="G71" i="5"/>
  <c r="E73" i="5"/>
  <c r="F78" i="5"/>
  <c r="E16" i="5"/>
  <c r="G23" i="5"/>
  <c r="F25" i="5"/>
  <c r="D27" i="5"/>
  <c r="I28" i="5"/>
  <c r="G30" i="5"/>
  <c r="E32" i="5"/>
  <c r="H35" i="5"/>
  <c r="F37" i="5"/>
  <c r="D39" i="5"/>
  <c r="G42" i="5"/>
  <c r="E44" i="5"/>
  <c r="H47" i="5"/>
  <c r="F49" i="5"/>
  <c r="D51" i="5"/>
  <c r="G54" i="5"/>
  <c r="E56" i="5"/>
  <c r="H59" i="5"/>
  <c r="F61" i="5"/>
  <c r="D63" i="5"/>
  <c r="G66" i="5"/>
  <c r="E68" i="5"/>
  <c r="H71" i="5"/>
  <c r="F73" i="5"/>
  <c r="G25" i="5"/>
  <c r="E27" i="5"/>
  <c r="H30" i="5"/>
  <c r="F32" i="5"/>
  <c r="D34" i="5"/>
  <c r="I35" i="5"/>
  <c r="G37" i="5"/>
  <c r="E39" i="5"/>
  <c r="H42" i="5"/>
  <c r="D46" i="5"/>
  <c r="G49" i="5"/>
  <c r="E51" i="5"/>
  <c r="H54" i="5"/>
  <c r="D58" i="5"/>
  <c r="G61" i="5"/>
  <c r="E63" i="5"/>
  <c r="H66" i="5"/>
  <c r="D70" i="5"/>
  <c r="G73" i="5"/>
  <c r="D17" i="5"/>
  <c r="H25" i="5"/>
  <c r="D29" i="5"/>
  <c r="G32" i="5"/>
  <c r="E34" i="5"/>
  <c r="H37" i="5"/>
  <c r="D41" i="5"/>
  <c r="G44" i="5"/>
  <c r="E46" i="5"/>
  <c r="H49" i="5"/>
  <c r="D53" i="5"/>
  <c r="G56" i="5"/>
  <c r="E58" i="5"/>
  <c r="H61" i="5"/>
  <c r="D65" i="5"/>
  <c r="G68" i="5"/>
  <c r="E70" i="5"/>
  <c r="H73" i="5"/>
  <c r="G45" i="1"/>
  <c r="D25" i="1" l="1"/>
  <c r="I78" i="5"/>
  <c r="J22" i="5" s="1"/>
  <c r="C25" i="1" l="1"/>
  <c r="E25" i="1" s="1"/>
  <c r="D26" i="1" s="1"/>
  <c r="C26" i="1" l="1"/>
  <c r="E26" i="1" s="1"/>
  <c r="D27" i="1" s="1"/>
  <c r="C27" i="1" l="1"/>
  <c r="E27" i="1" s="1"/>
  <c r="D28" i="1" s="1"/>
  <c r="C28" i="1" l="1"/>
  <c r="E28" i="1" s="1"/>
  <c r="D29" i="1" s="1"/>
  <c r="C29" i="1" l="1"/>
  <c r="E29" i="1" s="1"/>
  <c r="D30" i="1" l="1"/>
  <c r="C30" i="1" l="1"/>
  <c r="E30" i="1" s="1"/>
  <c r="D31" i="1" l="1"/>
  <c r="C31" i="1" l="1"/>
  <c r="E31" i="1" s="1"/>
  <c r="D32" i="1" l="1"/>
  <c r="C32" i="1" l="1"/>
  <c r="E32" i="1" s="1"/>
  <c r="D33" i="1" l="1"/>
  <c r="C33" i="1" l="1"/>
  <c r="E33" i="1" s="1"/>
  <c r="D34" i="1" l="1"/>
  <c r="C34" i="1" l="1"/>
  <c r="E34" i="1" s="1"/>
  <c r="D35" i="1" l="1"/>
  <c r="C35" i="1" l="1"/>
  <c r="E35" i="1" s="1"/>
  <c r="D36" i="1" l="1"/>
  <c r="C36" i="1" l="1"/>
  <c r="E36" i="1" s="1"/>
  <c r="D37" i="1" l="1"/>
  <c r="C37" i="1" l="1"/>
  <c r="E37" i="1" s="1"/>
  <c r="D38" i="1" l="1"/>
  <c r="C38" i="1" l="1"/>
  <c r="E38" i="1" s="1"/>
  <c r="D39" i="1" l="1"/>
  <c r="C39" i="1" l="1"/>
  <c r="E39" i="1" s="1"/>
  <c r="D40" i="1" l="1"/>
  <c r="C40" i="1" l="1"/>
  <c r="E40" i="1" s="1"/>
  <c r="D41" i="1" l="1"/>
  <c r="C41" i="1" l="1"/>
  <c r="E41" i="1" s="1"/>
  <c r="D42" i="1" l="1"/>
  <c r="C42" i="1" l="1"/>
  <c r="E42" i="1" s="1"/>
  <c r="D43" i="1" l="1"/>
  <c r="C43" i="1" l="1"/>
  <c r="E43" i="1" s="1"/>
  <c r="C45" i="1"/>
</calcChain>
</file>

<file path=xl/sharedStrings.xml><?xml version="1.0" encoding="utf-8"?>
<sst xmlns="http://schemas.openxmlformats.org/spreadsheetml/2006/main" count="56" uniqueCount="53">
  <si>
    <t>Year</t>
  </si>
  <si>
    <t>Last 20 geometric mean</t>
  </si>
  <si>
    <t xml:space="preserve">In cells </t>
  </si>
  <si>
    <t>Return+1</t>
  </si>
  <si>
    <t xml:space="preserve"> </t>
  </si>
  <si>
    <t>S&amp;P 500</t>
  </si>
  <si>
    <t>ANNUAL</t>
  </si>
  <si>
    <t>1+Ret</t>
  </si>
  <si>
    <t>Last 5</t>
  </si>
  <si>
    <t>Last 10</t>
  </si>
  <si>
    <t>Last 15</t>
  </si>
  <si>
    <t>Last6-10</t>
  </si>
  <si>
    <t>Last 11-15</t>
  </si>
  <si>
    <t>Last 20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</si>
  <si>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</si>
  <si>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</si>
  <si>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</si>
  <si>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</si>
  <si>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</si>
  <si>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</si>
  <si>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</si>
  <si>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</si>
  <si>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</si>
  <si>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</si>
  <si>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</si>
  <si>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</si>
  <si>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</si>
  <si>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</si>
  <si>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</si>
  <si>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</si>
  <si>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</si>
  <si>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</si>
  <si>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</si>
  <si>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</si>
  <si>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</si>
  <si>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</si>
  <si>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</si>
  <si>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Pearson Correlation</t>
  </si>
  <si>
    <t>S&amp;P Return</t>
  </si>
  <si>
    <t>Last20 GeoMean</t>
  </si>
  <si>
    <t>F24:F43 just  use historical mean and sigma</t>
  </si>
  <si>
    <t>Mean=12.98%</t>
  </si>
  <si>
    <t>Sigma=20.17%</t>
  </si>
  <si>
    <t>In cells C24:C43</t>
  </si>
  <si>
    <t>Based on the regression</t>
  </si>
  <si>
    <t xml:space="preserve">Next year will be normal </t>
  </si>
  <si>
    <t>No MR</t>
  </si>
  <si>
    <t>No MR+1</t>
  </si>
  <si>
    <t>Annual return 2001-2020</t>
  </si>
  <si>
    <t>Intercept (a)</t>
  </si>
  <si>
    <t>TwentyYearMeanReturn (b)</t>
  </si>
  <si>
    <t>SIGMA=0.1659</t>
  </si>
  <si>
    <t>Mean=0.1908-.4794*(average last 20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</si>
</sst>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12" x14ac:knownFonts="1">
    <font>
      <sz val="10"/>
      <name val="Times New Roman"/>
    </font>
    <font>
      <sz val="10"/>
      <name val="Times New Roman"/>
      <family val="1"/>
    </font>
    <font>
      <sz val="10"/>
      <name val="Arial"/>
      <family val="2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0"/>
      <color theme="3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sz val="12"/>
      <color theme="9" tint="-0.499984740745262"/>
      <name val="Cambria"/>
      <family val="1"/>
      <scheme val="major"/>
    </font>
    <font>
      <i/>
      <sz val="10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1" applyFont="1"/>
    <xf numFmtId="0" fontId="5" fillId="0" borderId="0" xfId="1" applyFont="1"/>
    <xf numFmtId="0" fontId="6" fillId="3" borderId="3" xfId="1" applyFont="1" applyFill="1" applyBorder="1"/>
    <xf numFmtId="14" fontId="3" fillId="3" borderId="4" xfId="1" applyNumberFormat="1" applyFont="1" applyFill="1" applyBorder="1"/>
    <xf numFmtId="0" fontId="3" fillId="3" borderId="4" xfId="1" applyFont="1" applyFill="1" applyBorder="1"/>
    <xf numFmtId="14" fontId="3" fillId="3" borderId="5" xfId="1" applyNumberFormat="1" applyFont="1" applyFill="1" applyBorder="1"/>
    <xf numFmtId="0" fontId="3" fillId="3" borderId="5" xfId="1" applyFont="1" applyFill="1" applyBorder="1"/>
    <xf numFmtId="14" fontId="4" fillId="0" borderId="3" xfId="1" applyNumberFormat="1" applyFont="1" applyBorder="1"/>
    <xf numFmtId="0" fontId="4" fillId="0" borderId="3" xfId="1" applyFont="1" applyBorder="1"/>
    <xf numFmtId="0" fontId="4" fillId="0" borderId="3" xfId="1" quotePrefix="1" applyFont="1" applyBorder="1"/>
    <xf numFmtId="14" fontId="3" fillId="0" borderId="0" xfId="1" applyNumberFormat="1" applyFont="1"/>
    <xf numFmtId="10" fontId="3" fillId="0" borderId="0" xfId="2" applyNumberFormat="1" applyFont="1"/>
    <xf numFmtId="10" fontId="3" fillId="0" borderId="0" xfId="1" applyNumberFormat="1" applyFont="1"/>
    <xf numFmtId="0" fontId="4" fillId="3" borderId="3" xfId="1" applyFont="1" applyFill="1" applyBorder="1"/>
    <xf numFmtId="0" fontId="3" fillId="0" borderId="0" xfId="0" applyFont="1"/>
    <xf numFmtId="0" fontId="3" fillId="0" borderId="5" xfId="0" applyFont="1" applyBorder="1"/>
    <xf numFmtId="0" fontId="7" fillId="0" borderId="4" xfId="0" applyFont="1" applyBorder="1"/>
    <xf numFmtId="0" fontId="3" fillId="0" borderId="4" xfId="0" applyFont="1" applyBorder="1"/>
    <xf numFmtId="0" fontId="7" fillId="0" borderId="0" xfId="0" applyFont="1"/>
    <xf numFmtId="0" fontId="7" fillId="0" borderId="5" xfId="0" applyFont="1" applyBorder="1"/>
    <xf numFmtId="0" fontId="8" fillId="0" borderId="4" xfId="0" applyFont="1" applyBorder="1"/>
    <xf numFmtId="0" fontId="8" fillId="0" borderId="0" xfId="0" applyFont="1"/>
    <xf numFmtId="0" fontId="8" fillId="0" borderId="5" xfId="0" applyFont="1" applyBorder="1"/>
    <xf numFmtId="11" fontId="3" fillId="0" borderId="0" xfId="0" applyNumberFormat="1" applyFont="1"/>
    <xf numFmtId="0" fontId="5" fillId="0" borderId="0" xfId="0" applyFont="1"/>
    <xf numFmtId="0" fontId="5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wrapText="1"/>
    </xf>
    <xf numFmtId="14" fontId="5" fillId="0" borderId="0" xfId="0" applyNumberFormat="1" applyFont="1"/>
    <xf numFmtId="10" fontId="5" fillId="0" borderId="0" xfId="0" applyNumberFormat="1" applyFont="1"/>
    <xf numFmtId="0" fontId="9" fillId="0" borderId="4" xfId="0" applyFont="1" applyBorder="1"/>
    <xf numFmtId="0" fontId="9" fillId="0" borderId="0" xfId="0" applyFont="1"/>
    <xf numFmtId="0" fontId="9" fillId="0" borderId="5" xfId="0" applyFont="1" applyBorder="1"/>
    <xf numFmtId="0" fontId="5" fillId="0" borderId="0" xfId="0" applyFont="1" applyAlignment="1">
      <alignment wrapText="1"/>
    </xf>
    <xf numFmtId="14" fontId="5" fillId="2" borderId="0" xfId="0" applyNumberFormat="1" applyFont="1" applyFill="1"/>
    <xf numFmtId="10" fontId="5" fillId="2" borderId="0" xfId="2" applyNumberFormat="1" applyFont="1" applyFill="1"/>
    <xf numFmtId="10" fontId="5" fillId="0" borderId="0" xfId="2" applyNumberFormat="1" applyFont="1" applyAlignment="1"/>
    <xf numFmtId="10" fontId="5" fillId="0" borderId="0" xfId="2" applyNumberFormat="1" applyFont="1"/>
    <xf numFmtId="0" fontId="0" fillId="0" borderId="0" xfId="0" applyFill="1" applyBorder="1" applyAlignment="1"/>
    <xf numFmtId="0" fontId="0" fillId="0" borderId="2" xfId="0" applyFill="1" applyBorder="1" applyAlignment="1"/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Continuous"/>
    </xf>
    <xf numFmtId="0" fontId="11" fillId="3" borderId="0" xfId="0" applyFont="1" applyFill="1" applyBorder="1" applyAlignment="1"/>
    <xf numFmtId="0" fontId="1" fillId="0" borderId="0" xfId="0" applyFont="1" applyFill="1" applyBorder="1" applyAlignment="1"/>
    <xf numFmtId="0" fontId="1" fillId="0" borderId="2" xfId="0" applyFont="1" applyFill="1" applyBorder="1" applyAlignment="1"/>
    <xf numFmtId="0" fontId="6" fillId="3" borderId="3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9" fontId="0" fillId="0" borderId="0" xfId="0" applyNumberFormat="1" applyFill="1" applyBorder="1" applyAlignment="1">
      <alignment horizontal="center" vertical="center"/>
    </xf>
    <xf numFmtId="169" fontId="0" fillId="0" borderId="2" xfId="0" applyNumberFormat="1" applyFill="1" applyBorder="1" applyAlignment="1">
      <alignment horizontal="center" vertical="center"/>
    </xf>
    <xf numFmtId="169" fontId="11" fillId="3" borderId="0" xfId="0" applyNumberFormat="1" applyFont="1" applyFill="1" applyBorder="1" applyAlignment="1">
      <alignment horizontal="center" vertical="center"/>
    </xf>
    <xf numFmtId="169" fontId="11" fillId="3" borderId="2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_meanrevnew" xfId="1" xr:uid="{00000000-0005-0000-0000-000001000000}"/>
    <cellStyle name="Percent" xfId="2" builtinId="5"/>
  </cellStyles>
  <dxfs count="6">
    <dxf>
      <font>
        <color rgb="FFFFFFFF"/>
      </font>
      <fill>
        <patternFill>
          <bgColor rgb="FF008000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DC143C"/>
        </patternFill>
      </fill>
    </dxf>
    <dxf>
      <font>
        <color rgb="FFFFFFFF"/>
      </font>
      <fill>
        <patternFill>
          <bgColor rgb="FF0000FF"/>
        </patternFill>
      </fill>
    </dxf>
    <dxf>
      <font>
        <color rgb="FFFFFFFF"/>
      </font>
      <fill>
        <patternFill>
          <bgColor rgb="FF008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27</xdr:row>
      <xdr:rowOff>0</xdr:rowOff>
    </xdr:from>
    <xdr:to>
      <xdr:col>13</xdr:col>
      <xdr:colOff>66675</xdr:colOff>
      <xdr:row>32</xdr:row>
      <xdr:rowOff>57150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SpPr>
          <a:spLocks noChangeArrowheads="1"/>
        </xdr:cNvSpPr>
      </xdr:nvSpPr>
      <xdr:spPr bwMode="auto">
        <a:xfrm>
          <a:off x="5800725" y="4857750"/>
          <a:ext cx="2400300" cy="866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Note that with MR we have a narrower range for compounded 20 year return and for no MR our worst case is -8% but with MR worst case is .1%. Also note MR has lower sigma for 20 year annual return for 20 year period.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8"/>
  <sheetViews>
    <sheetView topLeftCell="A4" workbookViewId="0">
      <selection activeCell="F14" sqref="F14"/>
    </sheetView>
  </sheetViews>
  <sheetFormatPr defaultRowHeight="12.75" x14ac:dyDescent="0.2"/>
  <cols>
    <col min="1" max="1" width="11.83203125" style="15" bestFit="1" customWidth="1"/>
    <col min="2" max="7" width="9.5" style="15" bestFit="1" customWidth="1"/>
    <col min="8" max="8" width="11.83203125" style="15" bestFit="1" customWidth="1"/>
    <col min="9" max="10" width="9.5" style="15" bestFit="1" customWidth="1"/>
    <col min="11" max="16384" width="9.33203125" style="15"/>
  </cols>
  <sheetData>
    <row r="1" spans="1:11" x14ac:dyDescent="0.2">
      <c r="A1" s="4"/>
      <c r="B1" s="5" t="s">
        <v>5</v>
      </c>
      <c r="C1" s="5"/>
      <c r="D1" s="5"/>
      <c r="E1" s="5"/>
      <c r="F1" s="5"/>
      <c r="G1" s="5"/>
      <c r="H1" s="5"/>
      <c r="I1" s="5"/>
      <c r="J1" s="1"/>
      <c r="K1" s="1"/>
    </row>
    <row r="2" spans="1:11" x14ac:dyDescent="0.2">
      <c r="A2" s="6"/>
      <c r="B2" s="7" t="s">
        <v>6</v>
      </c>
      <c r="C2" s="7"/>
      <c r="D2" s="7"/>
      <c r="E2" s="7"/>
      <c r="F2" s="7"/>
      <c r="G2" s="7"/>
      <c r="H2" s="7"/>
      <c r="I2" s="7"/>
      <c r="J2" s="1"/>
      <c r="K2" s="1"/>
    </row>
    <row r="3" spans="1:11" x14ac:dyDescent="0.2">
      <c r="A3" s="8"/>
      <c r="B3" s="9"/>
      <c r="C3" s="10" t="s">
        <v>7</v>
      </c>
      <c r="D3" s="9" t="s">
        <v>8</v>
      </c>
      <c r="E3" s="9" t="s">
        <v>9</v>
      </c>
      <c r="F3" s="9" t="s">
        <v>10</v>
      </c>
      <c r="G3" s="9" t="s">
        <v>11</v>
      </c>
      <c r="H3" s="9" t="s">
        <v>12</v>
      </c>
      <c r="I3" s="9" t="s">
        <v>13</v>
      </c>
      <c r="J3" s="1"/>
      <c r="K3" s="1"/>
    </row>
    <row r="4" spans="1:11" x14ac:dyDescent="0.2">
      <c r="A4" s="11">
        <v>9498</v>
      </c>
      <c r="B4" s="12">
        <v>0.11609999999999999</v>
      </c>
      <c r="C4" s="13">
        <f t="shared" ref="C4:C35" si="0">1+B4</f>
        <v>1.1161000000000001</v>
      </c>
      <c r="D4" s="1"/>
      <c r="E4" s="1"/>
      <c r="F4" s="1"/>
      <c r="G4" s="1"/>
      <c r="H4" s="1"/>
      <c r="I4" s="1"/>
      <c r="J4" s="1"/>
      <c r="K4" s="1"/>
    </row>
    <row r="5" spans="1:11" x14ac:dyDescent="0.2">
      <c r="A5" s="11">
        <v>9863</v>
      </c>
      <c r="B5" s="12">
        <v>0.37479999999999997</v>
      </c>
      <c r="C5" s="13">
        <f t="shared" si="0"/>
        <v>1.3748</v>
      </c>
      <c r="D5" s="1"/>
      <c r="E5" s="1"/>
      <c r="F5" s="1"/>
      <c r="G5" s="1"/>
      <c r="H5" s="1"/>
      <c r="I5" s="1"/>
      <c r="J5" s="1"/>
      <c r="K5" s="1"/>
    </row>
    <row r="6" spans="1:11" x14ac:dyDescent="0.2">
      <c r="A6" s="11">
        <v>10228</v>
      </c>
      <c r="B6" s="12">
        <v>0.43609999999999999</v>
      </c>
      <c r="C6" s="13">
        <f t="shared" si="0"/>
        <v>1.4360999999999999</v>
      </c>
      <c r="D6" s="1"/>
      <c r="E6" s="1"/>
      <c r="F6" s="1"/>
      <c r="G6" s="1"/>
      <c r="H6" s="1"/>
      <c r="I6" s="1"/>
      <c r="J6" s="1"/>
      <c r="K6" s="1"/>
    </row>
    <row r="7" spans="1:11" x14ac:dyDescent="0.2">
      <c r="A7" s="11">
        <v>10594</v>
      </c>
      <c r="B7" s="12">
        <v>-8.4100000000000008E-2</v>
      </c>
      <c r="C7" s="13">
        <f t="shared" si="0"/>
        <v>0.91589999999999994</v>
      </c>
      <c r="D7" s="1"/>
      <c r="E7" s="1"/>
      <c r="F7" s="1"/>
      <c r="G7" s="1"/>
      <c r="H7" s="1"/>
      <c r="I7" s="1"/>
      <c r="J7" s="1"/>
      <c r="K7" s="1"/>
    </row>
    <row r="8" spans="1:11" x14ac:dyDescent="0.2">
      <c r="A8" s="11">
        <v>10959</v>
      </c>
      <c r="B8" s="12">
        <v>-0.249</v>
      </c>
      <c r="C8" s="13">
        <f t="shared" si="0"/>
        <v>0.751</v>
      </c>
      <c r="D8" s="1"/>
      <c r="E8" s="1"/>
      <c r="F8" s="1"/>
      <c r="G8" s="1"/>
      <c r="H8" s="1"/>
      <c r="I8" s="1"/>
      <c r="J8" s="1"/>
      <c r="K8" s="1"/>
    </row>
    <row r="9" spans="1:11" x14ac:dyDescent="0.2">
      <c r="A9" s="11">
        <v>11324</v>
      </c>
      <c r="B9" s="12">
        <v>-0.4335</v>
      </c>
      <c r="C9" s="13">
        <f t="shared" si="0"/>
        <v>0.5665</v>
      </c>
      <c r="D9" s="13">
        <f t="shared" ref="D9:D72" si="1">GEOMEAN(C4:C8)-1</f>
        <v>8.673351750348135E-2</v>
      </c>
      <c r="E9" s="1"/>
      <c r="F9" s="1"/>
      <c r="G9" s="1"/>
      <c r="H9" s="1"/>
      <c r="I9" s="1"/>
      <c r="J9" s="1"/>
      <c r="K9" s="1"/>
    </row>
    <row r="10" spans="1:11" x14ac:dyDescent="0.2">
      <c r="A10" s="11">
        <v>11689</v>
      </c>
      <c r="B10" s="12">
        <v>-8.199999999999999E-2</v>
      </c>
      <c r="C10" s="13">
        <f t="shared" si="0"/>
        <v>0.91800000000000004</v>
      </c>
      <c r="D10" s="13">
        <f t="shared" si="1"/>
        <v>-5.1095681397328563E-2</v>
      </c>
      <c r="E10" s="1"/>
      <c r="F10" s="1"/>
      <c r="G10" s="1"/>
      <c r="H10" s="1"/>
      <c r="I10" s="1"/>
      <c r="J10" s="1"/>
      <c r="K10" s="1"/>
    </row>
    <row r="11" spans="1:11" x14ac:dyDescent="0.2">
      <c r="A11" s="11">
        <v>12055</v>
      </c>
      <c r="B11" s="12">
        <v>0.53969999999999996</v>
      </c>
      <c r="C11" s="13">
        <f t="shared" si="0"/>
        <v>1.5396999999999998</v>
      </c>
      <c r="D11" s="13">
        <f t="shared" si="1"/>
        <v>-0.1247279614256771</v>
      </c>
      <c r="E11" s="1"/>
      <c r="F11" s="1"/>
      <c r="G11" s="1"/>
      <c r="H11" s="1"/>
      <c r="I11" s="1"/>
      <c r="J11" s="1"/>
      <c r="K11" s="1"/>
    </row>
    <row r="12" spans="1:11" x14ac:dyDescent="0.2">
      <c r="A12" s="11">
        <v>12420</v>
      </c>
      <c r="B12" s="12">
        <v>-1.43E-2</v>
      </c>
      <c r="C12" s="13">
        <f t="shared" si="0"/>
        <v>0.98570000000000002</v>
      </c>
      <c r="D12" s="13">
        <f t="shared" si="1"/>
        <v>-0.1124489538364879</v>
      </c>
      <c r="E12" s="1"/>
      <c r="F12" s="1"/>
      <c r="G12" s="1"/>
      <c r="H12" s="1"/>
      <c r="I12" s="1"/>
      <c r="J12" s="1"/>
      <c r="K12" s="1"/>
    </row>
    <row r="13" spans="1:11" x14ac:dyDescent="0.2">
      <c r="A13" s="11">
        <v>12785</v>
      </c>
      <c r="B13" s="12">
        <v>0.47659999999999997</v>
      </c>
      <c r="C13" s="13">
        <f t="shared" si="0"/>
        <v>1.4765999999999999</v>
      </c>
      <c r="D13" s="13">
        <f t="shared" si="1"/>
        <v>-9.9315519141402686E-2</v>
      </c>
      <c r="E13" s="1"/>
      <c r="F13" s="1"/>
      <c r="G13" s="1"/>
      <c r="H13" s="1"/>
      <c r="I13" s="1"/>
      <c r="J13" s="1"/>
      <c r="K13" s="1"/>
    </row>
    <row r="14" spans="1:11" x14ac:dyDescent="0.2">
      <c r="A14" s="11">
        <v>13150</v>
      </c>
      <c r="B14" s="12">
        <v>0.3392</v>
      </c>
      <c r="C14" s="13">
        <f t="shared" si="0"/>
        <v>1.3391999999999999</v>
      </c>
      <c r="D14" s="13">
        <f t="shared" si="1"/>
        <v>3.1091638844287672E-2</v>
      </c>
      <c r="E14" s="13">
        <f t="shared" ref="E14:E77" si="2">GEOMEAN(C4:C13)-1</f>
        <v>5.8547043616712369E-2</v>
      </c>
      <c r="F14" s="1"/>
      <c r="G14" s="1"/>
      <c r="H14" s="1"/>
      <c r="I14" s="1"/>
      <c r="J14" s="1"/>
      <c r="K14" s="1"/>
    </row>
    <row r="15" spans="1:11" x14ac:dyDescent="0.2">
      <c r="A15" s="11">
        <v>13516</v>
      </c>
      <c r="B15" s="12">
        <v>-0.35020000000000001</v>
      </c>
      <c r="C15" s="13">
        <f t="shared" si="0"/>
        <v>0.64979999999999993</v>
      </c>
      <c r="D15" s="13">
        <f t="shared" si="1"/>
        <v>0.22469056047787017</v>
      </c>
      <c r="E15" s="13">
        <f t="shared" si="2"/>
        <v>7.8013989607452761E-2</v>
      </c>
      <c r="F15" s="1"/>
      <c r="G15" s="1"/>
      <c r="H15" s="1"/>
      <c r="I15" s="1"/>
      <c r="J15" s="1"/>
      <c r="K15" s="1"/>
    </row>
    <row r="16" spans="1:11" x14ac:dyDescent="0.2">
      <c r="A16" s="11">
        <v>13881</v>
      </c>
      <c r="B16" s="12">
        <v>0.31140000000000001</v>
      </c>
      <c r="C16" s="13">
        <f t="shared" si="0"/>
        <v>1.3113999999999999</v>
      </c>
      <c r="D16" s="13">
        <f t="shared" si="1"/>
        <v>0.14291458692230741</v>
      </c>
      <c r="E16" s="13">
        <f t="shared" si="2"/>
        <v>1.8057390244186067E-4</v>
      </c>
      <c r="F16" s="1"/>
      <c r="G16" s="1"/>
      <c r="H16" s="1"/>
      <c r="I16" s="1"/>
      <c r="J16" s="1"/>
      <c r="K16" s="1"/>
    </row>
    <row r="17" spans="1:11" x14ac:dyDescent="0.2">
      <c r="A17" s="11">
        <v>14246</v>
      </c>
      <c r="B17" s="12">
        <v>-4.1999999999999997E-3</v>
      </c>
      <c r="C17" s="13">
        <f t="shared" si="0"/>
        <v>0.99580000000000002</v>
      </c>
      <c r="D17" s="13">
        <f t="shared" si="1"/>
        <v>0.10681131299981406</v>
      </c>
      <c r="E17" s="13">
        <f t="shared" si="2"/>
        <v>-8.8635115391041408E-3</v>
      </c>
      <c r="F17" s="1"/>
      <c r="G17" s="1"/>
      <c r="H17" s="1"/>
      <c r="I17" s="1"/>
      <c r="J17" s="1"/>
      <c r="K17" s="1"/>
    </row>
    <row r="18" spans="1:11" x14ac:dyDescent="0.2">
      <c r="A18" s="11">
        <v>14611</v>
      </c>
      <c r="B18" s="12">
        <v>-9.7799999999999998E-2</v>
      </c>
      <c r="C18" s="13">
        <f t="shared" si="0"/>
        <v>0.9022</v>
      </c>
      <c r="D18" s="13">
        <f t="shared" si="1"/>
        <v>0.10907026733062475</v>
      </c>
      <c r="E18" s="13">
        <f t="shared" si="2"/>
        <v>-5.3895625372701872E-4</v>
      </c>
      <c r="F18" s="1"/>
      <c r="G18" s="1"/>
      <c r="H18" s="1"/>
      <c r="I18" s="1"/>
      <c r="J18" s="1"/>
      <c r="K18" s="1"/>
    </row>
    <row r="19" spans="1:11" x14ac:dyDescent="0.2">
      <c r="A19" s="11">
        <v>14977</v>
      </c>
      <c r="B19" s="12">
        <v>-0.1158</v>
      </c>
      <c r="C19" s="13">
        <f t="shared" si="0"/>
        <v>0.88419999999999999</v>
      </c>
      <c r="D19" s="13">
        <f t="shared" si="1"/>
        <v>5.0022969333864964E-3</v>
      </c>
      <c r="E19" s="13">
        <f t="shared" si="2"/>
        <v>1.7963390985805017E-2</v>
      </c>
      <c r="F19" s="13">
        <f t="shared" ref="F19:F78" si="3">GEOMEAN(C4:C18)-1</f>
        <v>4.0389100747796558E-2</v>
      </c>
      <c r="G19" s="13">
        <f t="shared" ref="G19:G78" si="4">GEOMEAN(C9:C13)-1</f>
        <v>3.1091638844287672E-2</v>
      </c>
      <c r="H19" s="13">
        <f t="shared" ref="H19:H78" si="5">GEOMEAN(C4:C8)-1</f>
        <v>8.673351750348135E-2</v>
      </c>
      <c r="I19" s="1"/>
      <c r="J19" s="1"/>
      <c r="K19" s="1"/>
    </row>
    <row r="20" spans="1:11" x14ac:dyDescent="0.2">
      <c r="A20" s="11">
        <v>15342</v>
      </c>
      <c r="B20" s="12">
        <v>0.20329999999999998</v>
      </c>
      <c r="C20" s="13">
        <f t="shared" si="0"/>
        <v>1.2033</v>
      </c>
      <c r="D20" s="13">
        <f t="shared" si="1"/>
        <v>-7.5071698766863482E-2</v>
      </c>
      <c r="E20" s="13">
        <f t="shared" si="2"/>
        <v>6.4307737282339961E-2</v>
      </c>
      <c r="F20" s="13">
        <f t="shared" si="3"/>
        <v>2.4359235450275962E-2</v>
      </c>
      <c r="G20" s="13">
        <f t="shared" si="4"/>
        <v>0.22469056047787017</v>
      </c>
      <c r="H20" s="13">
        <f t="shared" si="5"/>
        <v>-5.1095681397328563E-2</v>
      </c>
      <c r="I20" s="1"/>
      <c r="J20" s="1"/>
      <c r="K20" s="1"/>
    </row>
    <row r="21" spans="1:11" x14ac:dyDescent="0.2">
      <c r="A21" s="11">
        <v>15707</v>
      </c>
      <c r="B21" s="12">
        <v>0.2591</v>
      </c>
      <c r="C21" s="13">
        <f t="shared" si="0"/>
        <v>1.2591000000000001</v>
      </c>
      <c r="D21" s="13">
        <f t="shared" si="1"/>
        <v>4.622937669688354E-2</v>
      </c>
      <c r="E21" s="13">
        <f t="shared" si="2"/>
        <v>9.3503916725268033E-2</v>
      </c>
      <c r="F21" s="13">
        <f t="shared" si="3"/>
        <v>1.5300453573277029E-2</v>
      </c>
      <c r="G21" s="13">
        <f t="shared" si="4"/>
        <v>0.14291458692230741</v>
      </c>
      <c r="H21" s="13">
        <f t="shared" si="5"/>
        <v>-0.1247279614256771</v>
      </c>
      <c r="I21" s="1"/>
      <c r="J21" s="1"/>
      <c r="K21" s="1"/>
    </row>
    <row r="22" spans="1:11" x14ac:dyDescent="0.2">
      <c r="A22" s="11">
        <v>16072</v>
      </c>
      <c r="B22" s="12">
        <v>0.1973</v>
      </c>
      <c r="C22" s="13">
        <f t="shared" si="0"/>
        <v>1.1973</v>
      </c>
      <c r="D22" s="13">
        <f t="shared" si="1"/>
        <v>3.774803374799518E-2</v>
      </c>
      <c r="E22" s="13">
        <f t="shared" si="2"/>
        <v>7.1723501559797898E-2</v>
      </c>
      <c r="F22" s="13">
        <f t="shared" si="3"/>
        <v>6.4362780478530723E-3</v>
      </c>
      <c r="G22" s="13">
        <f t="shared" si="4"/>
        <v>0.10681131299981406</v>
      </c>
      <c r="H22" s="13">
        <f t="shared" si="5"/>
        <v>-0.1124489538364879</v>
      </c>
      <c r="I22" s="1"/>
      <c r="J22" s="14">
        <f>RSQ(I24:I78,B24:B78)</f>
        <v>1.0815696739719501E-2</v>
      </c>
      <c r="K22" s="1" t="s">
        <v>37</v>
      </c>
    </row>
    <row r="23" spans="1:11" x14ac:dyDescent="0.2">
      <c r="A23" s="11">
        <v>16438</v>
      </c>
      <c r="B23" s="12">
        <v>0.36409999999999998</v>
      </c>
      <c r="C23" s="13">
        <f t="shared" si="0"/>
        <v>1.3641000000000001</v>
      </c>
      <c r="D23" s="13">
        <f t="shared" si="1"/>
        <v>7.6708375344361812E-2</v>
      </c>
      <c r="E23" s="13">
        <f t="shared" si="2"/>
        <v>9.2769529992621003E-2</v>
      </c>
      <c r="F23" s="13">
        <f t="shared" si="3"/>
        <v>2.4573875038369053E-2</v>
      </c>
      <c r="G23" s="13">
        <f t="shared" si="4"/>
        <v>0.10907026733062475</v>
      </c>
      <c r="H23" s="13">
        <f t="shared" si="5"/>
        <v>-9.9315519141402686E-2</v>
      </c>
      <c r="I23" s="1"/>
      <c r="J23" s="1"/>
      <c r="K23" s="1"/>
    </row>
    <row r="24" spans="1:11" x14ac:dyDescent="0.2">
      <c r="A24" s="11">
        <v>16803</v>
      </c>
      <c r="B24" s="12">
        <v>-8.0700000000000008E-2</v>
      </c>
      <c r="C24" s="13">
        <f t="shared" si="0"/>
        <v>0.91930000000000001</v>
      </c>
      <c r="D24" s="13">
        <f t="shared" si="1"/>
        <v>0.16951761793554776</v>
      </c>
      <c r="E24" s="13">
        <f t="shared" si="2"/>
        <v>8.4143852230546212E-2</v>
      </c>
      <c r="F24" s="13">
        <f t="shared" si="3"/>
        <v>6.6163219139698803E-2</v>
      </c>
      <c r="G24" s="13">
        <f t="shared" si="4"/>
        <v>5.0022969333864964E-3</v>
      </c>
      <c r="H24" s="13">
        <f t="shared" si="5"/>
        <v>3.1091638844287672E-2</v>
      </c>
      <c r="I24" s="13">
        <f>GEOMEAN(C4:C23)-1</f>
        <v>7.1268999660625942E-2</v>
      </c>
      <c r="J24" s="1"/>
      <c r="K24" s="1"/>
    </row>
    <row r="25" spans="1:11" x14ac:dyDescent="0.2">
      <c r="A25" s="11">
        <v>17168</v>
      </c>
      <c r="B25" s="12">
        <v>5.7000000000000002E-2</v>
      </c>
      <c r="C25" s="13">
        <f t="shared" si="0"/>
        <v>1.0569999999999999</v>
      </c>
      <c r="D25" s="13">
        <f t="shared" si="1"/>
        <v>0.1786588417830588</v>
      </c>
      <c r="E25" s="13">
        <f t="shared" si="2"/>
        <v>4.411441914371661E-2</v>
      </c>
      <c r="F25" s="13">
        <f t="shared" si="3"/>
        <v>0.10113572344032074</v>
      </c>
      <c r="G25" s="13">
        <f t="shared" si="4"/>
        <v>-7.5071698766863482E-2</v>
      </c>
      <c r="H25" s="13">
        <f t="shared" si="5"/>
        <v>0.22469056047787017</v>
      </c>
      <c r="I25" s="13">
        <f t="shared" ref="I25:I78" si="6">GEOMEAN(C5:C24)-1</f>
        <v>6.0928815042642803E-2</v>
      </c>
      <c r="J25" s="1"/>
      <c r="K25" s="1"/>
    </row>
    <row r="26" spans="1:11" x14ac:dyDescent="0.2">
      <c r="A26" s="11">
        <v>17533</v>
      </c>
      <c r="B26" s="12">
        <v>5.5099999999999996E-2</v>
      </c>
      <c r="C26" s="13">
        <f t="shared" si="0"/>
        <v>1.0550999999999999</v>
      </c>
      <c r="D26" s="13">
        <f t="shared" si="1"/>
        <v>0.1484929471575116</v>
      </c>
      <c r="E26" s="13">
        <f t="shared" si="2"/>
        <v>9.6169266238280482E-2</v>
      </c>
      <c r="F26" s="13">
        <f t="shared" si="3"/>
        <v>0.11153465149752617</v>
      </c>
      <c r="G26" s="13">
        <f t="shared" si="4"/>
        <v>4.622937669688354E-2</v>
      </c>
      <c r="H26" s="13">
        <f t="shared" si="5"/>
        <v>0.14291458692230741</v>
      </c>
      <c r="I26" s="13">
        <f t="shared" si="6"/>
        <v>4.7075549232442837E-2</v>
      </c>
      <c r="J26" s="1"/>
      <c r="K26" s="1"/>
    </row>
    <row r="27" spans="1:11" x14ac:dyDescent="0.2">
      <c r="A27" s="11">
        <v>17899</v>
      </c>
      <c r="B27" s="12">
        <v>0.18789999999999998</v>
      </c>
      <c r="C27" s="13">
        <f t="shared" si="0"/>
        <v>1.1879</v>
      </c>
      <c r="D27" s="13">
        <f t="shared" si="1"/>
        <v>0.10860035257506362</v>
      </c>
      <c r="E27" s="13">
        <f t="shared" si="2"/>
        <v>7.2589313808927747E-2</v>
      </c>
      <c r="F27" s="13">
        <f t="shared" si="3"/>
        <v>8.3877431985013073E-2</v>
      </c>
      <c r="G27" s="13">
        <f t="shared" si="4"/>
        <v>3.774803374799518E-2</v>
      </c>
      <c r="H27" s="13">
        <f t="shared" si="5"/>
        <v>0.10681131299981406</v>
      </c>
      <c r="I27" s="13">
        <f t="shared" si="6"/>
        <v>3.1058876131359714E-2</v>
      </c>
      <c r="J27" s="1"/>
      <c r="K27" s="1"/>
    </row>
    <row r="28" spans="1:11" x14ac:dyDescent="0.2">
      <c r="A28" s="11">
        <v>18264</v>
      </c>
      <c r="B28" s="12">
        <v>0.31739999999999996</v>
      </c>
      <c r="C28" s="13">
        <f t="shared" si="0"/>
        <v>1.3173999999999999</v>
      </c>
      <c r="D28" s="13">
        <f t="shared" si="1"/>
        <v>0.10685413626636175</v>
      </c>
      <c r="E28" s="13">
        <f t="shared" si="2"/>
        <v>9.1677204489743591E-2</v>
      </c>
      <c r="F28" s="13">
        <f t="shared" si="3"/>
        <v>9.7444371374973526E-2</v>
      </c>
      <c r="G28" s="13">
        <f t="shared" si="4"/>
        <v>7.6708375344361812E-2</v>
      </c>
      <c r="H28" s="13">
        <f t="shared" si="5"/>
        <v>0.10907026733062475</v>
      </c>
      <c r="I28" s="13">
        <f t="shared" si="6"/>
        <v>4.4551979670390818E-2</v>
      </c>
      <c r="J28" s="1"/>
      <c r="K28" s="1"/>
    </row>
    <row r="29" spans="1:11" x14ac:dyDescent="0.2">
      <c r="A29" s="11">
        <v>18629</v>
      </c>
      <c r="B29" s="12">
        <v>0.2402</v>
      </c>
      <c r="C29" s="13">
        <f t="shared" si="0"/>
        <v>1.2402</v>
      </c>
      <c r="D29" s="13">
        <f t="shared" si="1"/>
        <v>9.9169533906732221E-2</v>
      </c>
      <c r="E29" s="13">
        <f t="shared" si="2"/>
        <v>0.13379810151628302</v>
      </c>
      <c r="F29" s="13">
        <f t="shared" si="3"/>
        <v>8.9129450621561856E-2</v>
      </c>
      <c r="G29" s="13">
        <f t="shared" si="4"/>
        <v>0.16951761793554776</v>
      </c>
      <c r="H29" s="13">
        <f t="shared" si="5"/>
        <v>5.0022969333864964E-3</v>
      </c>
      <c r="I29" s="13">
        <f t="shared" si="6"/>
        <v>7.4320697051296403E-2</v>
      </c>
      <c r="J29" s="1"/>
      <c r="K29" s="1"/>
    </row>
    <row r="30" spans="1:11" x14ac:dyDescent="0.2">
      <c r="A30" s="11">
        <v>18994</v>
      </c>
      <c r="B30" s="12">
        <v>0.18350000000000002</v>
      </c>
      <c r="C30" s="13">
        <f t="shared" si="0"/>
        <v>1.1835</v>
      </c>
      <c r="D30" s="13">
        <f t="shared" si="1"/>
        <v>0.16700193395478857</v>
      </c>
      <c r="E30" s="13">
        <f t="shared" si="2"/>
        <v>0.17281590534650437</v>
      </c>
      <c r="F30" s="13">
        <f t="shared" si="3"/>
        <v>8.3567376000824867E-2</v>
      </c>
      <c r="G30" s="13">
        <f t="shared" si="4"/>
        <v>0.1786588417830588</v>
      </c>
      <c r="H30" s="13">
        <f t="shared" si="5"/>
        <v>-7.5071698766863482E-2</v>
      </c>
      <c r="I30" s="13">
        <f t="shared" si="6"/>
        <v>0.11724529198742961</v>
      </c>
      <c r="J30" s="1"/>
      <c r="K30" s="1"/>
    </row>
    <row r="31" spans="1:11" x14ac:dyDescent="0.2">
      <c r="A31" s="11">
        <v>19360</v>
      </c>
      <c r="B31" s="12">
        <v>-9.7999999999999997E-3</v>
      </c>
      <c r="C31" s="13">
        <f t="shared" si="0"/>
        <v>0.99019999999999997</v>
      </c>
      <c r="D31" s="13">
        <f t="shared" si="1"/>
        <v>0.19368635847792559</v>
      </c>
      <c r="E31" s="13">
        <f t="shared" si="2"/>
        <v>0.17087162568320458</v>
      </c>
      <c r="F31" s="13">
        <f t="shared" si="3"/>
        <v>0.127756029870572</v>
      </c>
      <c r="G31" s="13">
        <f t="shared" si="4"/>
        <v>0.1484929471575116</v>
      </c>
      <c r="H31" s="13">
        <f t="shared" si="5"/>
        <v>4.622937669688354E-2</v>
      </c>
      <c r="I31" s="13">
        <f t="shared" si="6"/>
        <v>0.13152671584327447</v>
      </c>
      <c r="J31" s="1"/>
      <c r="K31" s="1"/>
    </row>
    <row r="32" spans="1:11" x14ac:dyDescent="0.2">
      <c r="A32" s="11">
        <v>19725</v>
      </c>
      <c r="B32" s="12">
        <v>0.5262</v>
      </c>
      <c r="C32" s="13">
        <f t="shared" si="0"/>
        <v>1.5262</v>
      </c>
      <c r="D32" s="13">
        <f t="shared" si="1"/>
        <v>0.1786261989851825</v>
      </c>
      <c r="E32" s="13">
        <f t="shared" si="2"/>
        <v>0.14307717138834519</v>
      </c>
      <c r="F32" s="13">
        <f t="shared" si="3"/>
        <v>0.10683021773068369</v>
      </c>
      <c r="G32" s="13">
        <f t="shared" si="4"/>
        <v>0.10860035257506362</v>
      </c>
      <c r="H32" s="13">
        <f t="shared" si="5"/>
        <v>3.774803374799518E-2</v>
      </c>
      <c r="I32" s="13">
        <f t="shared" si="6"/>
        <v>0.10682549151769472</v>
      </c>
      <c r="J32" s="1"/>
      <c r="K32" s="1"/>
    </row>
    <row r="33" spans="1:11" x14ac:dyDescent="0.2">
      <c r="A33" s="11">
        <v>20090</v>
      </c>
      <c r="B33" s="12">
        <v>0.31540000000000001</v>
      </c>
      <c r="C33" s="13">
        <f t="shared" si="0"/>
        <v>1.3153999999999999</v>
      </c>
      <c r="D33" s="13">
        <f t="shared" si="1"/>
        <v>0.23920285099254479</v>
      </c>
      <c r="E33" s="13">
        <f t="shared" si="2"/>
        <v>0.17116045070441399</v>
      </c>
      <c r="F33" s="13">
        <f t="shared" si="3"/>
        <v>0.13878995894285473</v>
      </c>
      <c r="G33" s="13">
        <f t="shared" si="4"/>
        <v>0.10685413626636175</v>
      </c>
      <c r="H33" s="13">
        <f t="shared" si="5"/>
        <v>7.6708375344361812E-2</v>
      </c>
      <c r="I33" s="13">
        <f t="shared" si="6"/>
        <v>0.13128619511696016</v>
      </c>
      <c r="J33" s="1"/>
      <c r="K33" s="1"/>
    </row>
    <row r="34" spans="1:11" x14ac:dyDescent="0.2">
      <c r="A34" s="11">
        <v>20455</v>
      </c>
      <c r="B34" s="12">
        <v>6.5599999999999992E-2</v>
      </c>
      <c r="C34" s="13">
        <f t="shared" si="0"/>
        <v>1.0655999999999999</v>
      </c>
      <c r="D34" s="13">
        <f t="shared" si="1"/>
        <v>0.23882636517155431</v>
      </c>
      <c r="E34" s="13">
        <f t="shared" si="2"/>
        <v>0.1669105357297056</v>
      </c>
      <c r="F34" s="13">
        <f t="shared" si="3"/>
        <v>0.16777891674735468</v>
      </c>
      <c r="G34" s="13">
        <f t="shared" si="4"/>
        <v>9.9169533906732221E-2</v>
      </c>
      <c r="H34" s="13">
        <f t="shared" si="5"/>
        <v>0.16951761793554776</v>
      </c>
      <c r="I34" s="13">
        <f t="shared" si="6"/>
        <v>0.1247661461007854</v>
      </c>
      <c r="J34" s="1"/>
      <c r="K34" s="1"/>
    </row>
    <row r="35" spans="1:11" x14ac:dyDescent="0.2">
      <c r="A35" s="11">
        <v>20821</v>
      </c>
      <c r="B35" s="12">
        <v>-0.1079</v>
      </c>
      <c r="C35" s="13">
        <f t="shared" si="0"/>
        <v>0.8921</v>
      </c>
      <c r="D35" s="13">
        <f t="shared" si="1"/>
        <v>0.20179650466379528</v>
      </c>
      <c r="E35" s="13">
        <f t="shared" si="2"/>
        <v>0.18427144065993351</v>
      </c>
      <c r="F35" s="13">
        <f t="shared" si="3"/>
        <v>0.18239761103894292</v>
      </c>
      <c r="G35" s="13">
        <f t="shared" si="4"/>
        <v>0.16700193395478857</v>
      </c>
      <c r="H35" s="13">
        <f t="shared" si="5"/>
        <v>0.1786588417830588</v>
      </c>
      <c r="I35" s="13">
        <f t="shared" si="6"/>
        <v>0.11198690971303216</v>
      </c>
      <c r="J35" s="1"/>
      <c r="K35" s="1"/>
    </row>
    <row r="36" spans="1:11" x14ac:dyDescent="0.2">
      <c r="A36" s="11">
        <v>21186</v>
      </c>
      <c r="B36" s="12">
        <v>0.43369999999999997</v>
      </c>
      <c r="C36" s="13">
        <f t="shared" ref="C36:C67" si="7">1+B36</f>
        <v>1.4337</v>
      </c>
      <c r="D36" s="13">
        <f t="shared" si="1"/>
        <v>0.13574279917665888</v>
      </c>
      <c r="E36" s="13">
        <f t="shared" si="2"/>
        <v>0.16435419272518259</v>
      </c>
      <c r="F36" s="13">
        <f t="shared" si="3"/>
        <v>0.15904292001336762</v>
      </c>
      <c r="G36" s="13">
        <f t="shared" si="4"/>
        <v>0.19368635847792559</v>
      </c>
      <c r="H36" s="13">
        <f t="shared" si="5"/>
        <v>0.1484929471575116</v>
      </c>
      <c r="I36" s="13">
        <f t="shared" si="6"/>
        <v>0.12974744128102755</v>
      </c>
      <c r="J36" s="1"/>
      <c r="K36" s="1"/>
    </row>
    <row r="37" spans="1:11" x14ac:dyDescent="0.2">
      <c r="A37" s="11">
        <v>21551</v>
      </c>
      <c r="B37" s="12">
        <v>0.1198</v>
      </c>
      <c r="C37" s="13">
        <f t="shared" si="7"/>
        <v>1.1197999999999999</v>
      </c>
      <c r="D37" s="13">
        <f t="shared" si="1"/>
        <v>0.22300171103812549</v>
      </c>
      <c r="E37" s="13">
        <f t="shared" si="2"/>
        <v>0.20060895300394965</v>
      </c>
      <c r="F37" s="13">
        <f t="shared" si="3"/>
        <v>0.16912080540286323</v>
      </c>
      <c r="G37" s="13">
        <f t="shared" si="4"/>
        <v>0.1786261989851825</v>
      </c>
      <c r="H37" s="13">
        <f t="shared" si="5"/>
        <v>0.10860035257506362</v>
      </c>
      <c r="I37" s="13">
        <f t="shared" si="6"/>
        <v>0.1347952824432086</v>
      </c>
      <c r="J37" s="1"/>
      <c r="K37" s="1"/>
    </row>
    <row r="38" spans="1:11" x14ac:dyDescent="0.2">
      <c r="A38" s="11">
        <v>21916</v>
      </c>
      <c r="B38" s="12">
        <v>4.5999999999999999E-3</v>
      </c>
      <c r="C38" s="13">
        <f t="shared" si="7"/>
        <v>1.0045999999999999</v>
      </c>
      <c r="D38" s="13">
        <f t="shared" si="1"/>
        <v>0.14956323911950453</v>
      </c>
      <c r="E38" s="13">
        <f t="shared" si="2"/>
        <v>0.19354180626952266</v>
      </c>
      <c r="F38" s="13">
        <f t="shared" si="3"/>
        <v>0.16391666880170797</v>
      </c>
      <c r="G38" s="13">
        <f t="shared" si="4"/>
        <v>0.23920285099254479</v>
      </c>
      <c r="H38" s="13">
        <f t="shared" si="5"/>
        <v>0.10685413626636175</v>
      </c>
      <c r="I38" s="13">
        <f t="shared" si="6"/>
        <v>0.14147377653187965</v>
      </c>
      <c r="J38" s="1"/>
      <c r="K38" s="1"/>
    </row>
    <row r="39" spans="1:11" x14ac:dyDescent="0.2">
      <c r="A39" s="11">
        <v>22282</v>
      </c>
      <c r="B39" s="12">
        <v>0.26890000000000003</v>
      </c>
      <c r="C39" s="13">
        <f t="shared" si="7"/>
        <v>1.2688999999999999</v>
      </c>
      <c r="D39" s="13">
        <f t="shared" si="1"/>
        <v>8.9230853593427861E-2</v>
      </c>
      <c r="E39" s="13">
        <f t="shared" si="2"/>
        <v>0.16162295913512992</v>
      </c>
      <c r="F39" s="13">
        <f t="shared" si="3"/>
        <v>0.14042050887352131</v>
      </c>
      <c r="G39" s="13">
        <f t="shared" si="4"/>
        <v>0.23882636517155431</v>
      </c>
      <c r="H39" s="13">
        <f t="shared" si="5"/>
        <v>9.9169533906732221E-2</v>
      </c>
      <c r="I39" s="13">
        <f t="shared" si="6"/>
        <v>0.14762620471351084</v>
      </c>
      <c r="J39" s="1"/>
      <c r="K39" s="1"/>
    </row>
    <row r="40" spans="1:11" x14ac:dyDescent="0.2">
      <c r="A40" s="11">
        <v>22647</v>
      </c>
      <c r="B40" s="12">
        <v>-8.7300000000000003E-2</v>
      </c>
      <c r="C40" s="13">
        <f t="shared" si="7"/>
        <v>0.91269999999999996</v>
      </c>
      <c r="D40" s="13">
        <f t="shared" si="1"/>
        <v>0.1279414895666553</v>
      </c>
      <c r="E40" s="13">
        <f t="shared" si="2"/>
        <v>0.16428353060003431</v>
      </c>
      <c r="F40" s="13">
        <f t="shared" si="3"/>
        <v>0.16518896074185863</v>
      </c>
      <c r="G40" s="13">
        <f t="shared" si="4"/>
        <v>0.20179650466379528</v>
      </c>
      <c r="H40" s="13">
        <f t="shared" si="5"/>
        <v>0.16700193395478857</v>
      </c>
      <c r="I40" s="13">
        <f t="shared" si="6"/>
        <v>0.16854193036480458</v>
      </c>
      <c r="J40" s="1"/>
      <c r="K40" s="1"/>
    </row>
    <row r="41" spans="1:11" x14ac:dyDescent="0.2">
      <c r="A41" s="11">
        <v>23012</v>
      </c>
      <c r="B41" s="12">
        <v>0.2278</v>
      </c>
      <c r="C41" s="13">
        <f t="shared" si="7"/>
        <v>1.2278</v>
      </c>
      <c r="D41" s="13">
        <f t="shared" si="1"/>
        <v>0.13310322083590131</v>
      </c>
      <c r="E41" s="13">
        <f t="shared" si="2"/>
        <v>0.13442224228382194</v>
      </c>
      <c r="F41" s="13">
        <f t="shared" si="3"/>
        <v>0.15384259061645733</v>
      </c>
      <c r="G41" s="13">
        <f t="shared" si="4"/>
        <v>0.13574279917665888</v>
      </c>
      <c r="H41" s="13">
        <f t="shared" si="5"/>
        <v>0.19368635847792559</v>
      </c>
      <c r="I41" s="13">
        <f t="shared" si="6"/>
        <v>0.15250284816743287</v>
      </c>
      <c r="J41" s="1"/>
      <c r="K41" s="1"/>
    </row>
    <row r="42" spans="1:11" x14ac:dyDescent="0.2">
      <c r="A42" s="11">
        <v>23377</v>
      </c>
      <c r="B42" s="12">
        <v>0.16510000000000002</v>
      </c>
      <c r="C42" s="13">
        <f t="shared" si="7"/>
        <v>1.1651</v>
      </c>
      <c r="D42" s="13">
        <f t="shared" si="1"/>
        <v>9.8508300303182583E-2</v>
      </c>
      <c r="E42" s="13">
        <f t="shared" si="2"/>
        <v>0.15908478156706685</v>
      </c>
      <c r="F42" s="13">
        <f t="shared" si="3"/>
        <v>0.16556232025123507</v>
      </c>
      <c r="G42" s="13">
        <f t="shared" si="4"/>
        <v>0.22300171103812549</v>
      </c>
      <c r="H42" s="13">
        <f t="shared" si="5"/>
        <v>0.1786261989851825</v>
      </c>
      <c r="I42" s="13">
        <f t="shared" si="6"/>
        <v>0.15105314973417316</v>
      </c>
      <c r="J42" s="1"/>
      <c r="K42" s="1"/>
    </row>
    <row r="43" spans="1:11" x14ac:dyDescent="0.2">
      <c r="A43" s="11">
        <v>23743</v>
      </c>
      <c r="B43" s="12">
        <v>0.1245</v>
      </c>
      <c r="C43" s="13">
        <f t="shared" si="7"/>
        <v>1.1245000000000001</v>
      </c>
      <c r="D43" s="13">
        <f t="shared" si="1"/>
        <v>0.10725561320579002</v>
      </c>
      <c r="E43" s="13">
        <f t="shared" si="2"/>
        <v>0.12821112795881473</v>
      </c>
      <c r="F43" s="13">
        <f t="shared" si="3"/>
        <v>0.16405737665718911</v>
      </c>
      <c r="G43" s="13">
        <f t="shared" si="4"/>
        <v>0.14956323911950453</v>
      </c>
      <c r="H43" s="13">
        <f t="shared" si="5"/>
        <v>0.23920285099254479</v>
      </c>
      <c r="I43" s="13">
        <f t="shared" si="6"/>
        <v>0.1494852122189223</v>
      </c>
      <c r="J43" s="1"/>
      <c r="K43" s="1"/>
    </row>
    <row r="44" spans="1:11" x14ac:dyDescent="0.2">
      <c r="A44" s="11">
        <v>24108</v>
      </c>
      <c r="B44" s="12">
        <v>-0.10050000000000001</v>
      </c>
      <c r="C44" s="13">
        <f t="shared" si="7"/>
        <v>0.89949999999999997</v>
      </c>
      <c r="D44" s="13">
        <f t="shared" si="1"/>
        <v>0.13250765906868023</v>
      </c>
      <c r="E44" s="13">
        <f t="shared" si="2"/>
        <v>0.11065849125123672</v>
      </c>
      <c r="F44" s="13">
        <f t="shared" si="3"/>
        <v>0.15183562688941832</v>
      </c>
      <c r="G44" s="13">
        <f t="shared" si="4"/>
        <v>8.9230853593427861E-2</v>
      </c>
      <c r="H44" s="13">
        <f t="shared" si="5"/>
        <v>0.23882636517155431</v>
      </c>
      <c r="I44" s="13">
        <f t="shared" si="6"/>
        <v>0.13843712827662435</v>
      </c>
      <c r="J44" s="1"/>
      <c r="K44" s="1"/>
    </row>
    <row r="45" spans="1:11" x14ac:dyDescent="0.2">
      <c r="A45" s="11">
        <v>24473</v>
      </c>
      <c r="B45" s="12">
        <v>0.23989999999999997</v>
      </c>
      <c r="C45" s="13">
        <f t="shared" si="7"/>
        <v>1.2399</v>
      </c>
      <c r="D45" s="13">
        <f t="shared" si="1"/>
        <v>5.7196950803082736E-2</v>
      </c>
      <c r="E45" s="13">
        <f t="shared" si="2"/>
        <v>9.1996475934860822E-2</v>
      </c>
      <c r="F45" s="13">
        <f t="shared" si="3"/>
        <v>0.12743402349240984</v>
      </c>
      <c r="G45" s="13">
        <f t="shared" si="4"/>
        <v>0.1279414895666553</v>
      </c>
      <c r="H45" s="13">
        <f t="shared" si="5"/>
        <v>0.20179650466379528</v>
      </c>
      <c r="I45" s="13">
        <f t="shared" si="6"/>
        <v>0.13719841705436253</v>
      </c>
      <c r="J45" s="1"/>
      <c r="K45" s="1"/>
    </row>
    <row r="46" spans="1:11" x14ac:dyDescent="0.2">
      <c r="A46" s="11">
        <v>24838</v>
      </c>
      <c r="B46" s="12">
        <v>0.1108</v>
      </c>
      <c r="C46" s="13">
        <f t="shared" si="7"/>
        <v>1.1108</v>
      </c>
      <c r="D46" s="13">
        <f t="shared" si="1"/>
        <v>0.12400339694149221</v>
      </c>
      <c r="E46" s="13">
        <f t="shared" si="2"/>
        <v>0.12854413706549317</v>
      </c>
      <c r="F46" s="13">
        <f t="shared" si="3"/>
        <v>0.13093860708195204</v>
      </c>
      <c r="G46" s="13">
        <f t="shared" si="4"/>
        <v>0.13310322083590131</v>
      </c>
      <c r="H46" s="13">
        <f t="shared" si="5"/>
        <v>0.13574279917665888</v>
      </c>
      <c r="I46" s="13">
        <f t="shared" si="6"/>
        <v>0.14630933768666043</v>
      </c>
      <c r="J46" s="1"/>
      <c r="K46" s="1"/>
    </row>
    <row r="47" spans="1:11" x14ac:dyDescent="0.2">
      <c r="A47" s="11">
        <v>25204</v>
      </c>
      <c r="B47" s="12">
        <v>-8.4900000000000003E-2</v>
      </c>
      <c r="C47" s="13">
        <f t="shared" si="7"/>
        <v>0.91510000000000002</v>
      </c>
      <c r="D47" s="13">
        <f t="shared" si="1"/>
        <v>0.1017150246252605</v>
      </c>
      <c r="E47" s="13">
        <f t="shared" si="2"/>
        <v>0.10011049405029038</v>
      </c>
      <c r="F47" s="13">
        <f t="shared" si="3"/>
        <v>0.13963704999417215</v>
      </c>
      <c r="G47" s="13">
        <f t="shared" si="4"/>
        <v>9.8508300303182583E-2</v>
      </c>
      <c r="H47" s="13">
        <f t="shared" si="5"/>
        <v>0.22300171103812549</v>
      </c>
      <c r="I47" s="13">
        <f t="shared" si="6"/>
        <v>0.14926172321642084</v>
      </c>
      <c r="J47" s="1"/>
      <c r="K47" s="1"/>
    </row>
    <row r="48" spans="1:11" x14ac:dyDescent="0.2">
      <c r="A48" s="11">
        <v>25569</v>
      </c>
      <c r="B48" s="12">
        <v>4.0300000000000002E-2</v>
      </c>
      <c r="C48" s="13">
        <f t="shared" si="7"/>
        <v>1.0403</v>
      </c>
      <c r="D48" s="13">
        <f t="shared" si="1"/>
        <v>4.9760779204992334E-2</v>
      </c>
      <c r="E48" s="13">
        <f t="shared" si="2"/>
        <v>7.8124999848353305E-2</v>
      </c>
      <c r="F48" s="13">
        <f t="shared" si="3"/>
        <v>0.10143033547797442</v>
      </c>
      <c r="G48" s="13">
        <f t="shared" si="4"/>
        <v>0.10725561320579002</v>
      </c>
      <c r="H48" s="13">
        <f t="shared" si="5"/>
        <v>0.14956323911950453</v>
      </c>
      <c r="I48" s="13">
        <f t="shared" si="6"/>
        <v>0.13436645741282938</v>
      </c>
      <c r="J48" s="1"/>
      <c r="K48" s="1"/>
    </row>
    <row r="49" spans="1:11" x14ac:dyDescent="0.2">
      <c r="A49" s="11">
        <v>25934</v>
      </c>
      <c r="B49" s="12">
        <v>0.14319999999999999</v>
      </c>
      <c r="C49" s="13">
        <f t="shared" si="7"/>
        <v>1.1432</v>
      </c>
      <c r="D49" s="13">
        <f t="shared" si="1"/>
        <v>3.3546856727247221E-2</v>
      </c>
      <c r="E49" s="13">
        <f t="shared" si="2"/>
        <v>8.1896358830164218E-2</v>
      </c>
      <c r="F49" s="13">
        <f t="shared" si="3"/>
        <v>8.4335686387058351E-2</v>
      </c>
      <c r="G49" s="13">
        <f t="shared" si="4"/>
        <v>0.13250765906868023</v>
      </c>
      <c r="H49" s="13">
        <f t="shared" si="5"/>
        <v>8.9230853593427861E-2</v>
      </c>
      <c r="I49" s="13">
        <f t="shared" si="6"/>
        <v>0.1210511361315405</v>
      </c>
      <c r="J49" s="1"/>
      <c r="K49" s="1"/>
    </row>
    <row r="50" spans="1:11" x14ac:dyDescent="0.2">
      <c r="A50" s="11">
        <v>26299</v>
      </c>
      <c r="B50" s="12">
        <v>0.1898</v>
      </c>
      <c r="C50" s="13">
        <f t="shared" si="7"/>
        <v>1.1898</v>
      </c>
      <c r="D50" s="13">
        <f t="shared" si="1"/>
        <v>8.4312289708355914E-2</v>
      </c>
      <c r="E50" s="13">
        <f t="shared" si="2"/>
        <v>7.0668784637892834E-2</v>
      </c>
      <c r="F50" s="13">
        <f t="shared" si="3"/>
        <v>8.9429048898854058E-2</v>
      </c>
      <c r="G50" s="13">
        <f t="shared" si="4"/>
        <v>5.7196950803082736E-2</v>
      </c>
      <c r="H50" s="13">
        <f t="shared" si="5"/>
        <v>0.1279414895666553</v>
      </c>
      <c r="I50" s="13">
        <f t="shared" si="6"/>
        <v>0.11649542438894644</v>
      </c>
      <c r="J50" s="1"/>
      <c r="K50" s="1"/>
    </row>
    <row r="51" spans="1:11" x14ac:dyDescent="0.2">
      <c r="A51" s="11">
        <v>26665</v>
      </c>
      <c r="B51" s="12">
        <v>-0.1467</v>
      </c>
      <c r="C51" s="13">
        <f t="shared" si="7"/>
        <v>0.85329999999999995</v>
      </c>
      <c r="D51" s="13">
        <f t="shared" si="1"/>
        <v>7.5404479248718514E-2</v>
      </c>
      <c r="E51" s="13">
        <f t="shared" si="2"/>
        <v>9.9435440470087677E-2</v>
      </c>
      <c r="F51" s="13">
        <f t="shared" si="3"/>
        <v>0.11054538820165827</v>
      </c>
      <c r="G51" s="13">
        <f t="shared" si="4"/>
        <v>0.12400339694149221</v>
      </c>
      <c r="H51" s="13">
        <f t="shared" si="5"/>
        <v>0.13310322083590131</v>
      </c>
      <c r="I51" s="13">
        <f t="shared" si="6"/>
        <v>0.11679184167166023</v>
      </c>
      <c r="J51" s="1"/>
      <c r="K51" s="1"/>
    </row>
    <row r="52" spans="1:11" x14ac:dyDescent="0.2">
      <c r="A52" s="11">
        <v>27030</v>
      </c>
      <c r="B52" s="12">
        <v>-0.2646</v>
      </c>
      <c r="C52" s="13">
        <f t="shared" si="7"/>
        <v>0.73540000000000005</v>
      </c>
      <c r="D52" s="13">
        <f t="shared" si="1"/>
        <v>2.0152306859927194E-2</v>
      </c>
      <c r="E52" s="13">
        <f t="shared" si="2"/>
        <v>6.0149576179560071E-2</v>
      </c>
      <c r="F52" s="13">
        <f t="shared" si="3"/>
        <v>7.2784632406146299E-2</v>
      </c>
      <c r="G52" s="13">
        <f t="shared" si="4"/>
        <v>0.1017150246252605</v>
      </c>
      <c r="H52" s="13">
        <f t="shared" si="5"/>
        <v>9.8508300303182583E-2</v>
      </c>
      <c r="I52" s="13">
        <f t="shared" si="6"/>
        <v>0.10851397823144482</v>
      </c>
      <c r="J52" s="1"/>
      <c r="K52" s="1"/>
    </row>
    <row r="53" spans="1:11" x14ac:dyDescent="0.2">
      <c r="A53" s="11">
        <v>27395</v>
      </c>
      <c r="B53" s="12">
        <v>0.37209999999999999</v>
      </c>
      <c r="C53" s="13">
        <f t="shared" si="7"/>
        <v>1.3721000000000001</v>
      </c>
      <c r="D53" s="13">
        <f t="shared" si="1"/>
        <v>-2.3491495375974614E-2</v>
      </c>
      <c r="E53" s="13">
        <f t="shared" si="2"/>
        <v>1.2472384173720874E-2</v>
      </c>
      <c r="F53" s="13">
        <f t="shared" si="3"/>
        <v>4.3129164330573788E-2</v>
      </c>
      <c r="G53" s="13">
        <f t="shared" si="4"/>
        <v>4.9760779204992334E-2</v>
      </c>
      <c r="H53" s="13">
        <f t="shared" si="5"/>
        <v>0.10725561320579002</v>
      </c>
      <c r="I53" s="13">
        <f t="shared" si="6"/>
        <v>6.8776221000347748E-2</v>
      </c>
      <c r="J53" s="1"/>
      <c r="K53" s="1"/>
    </row>
    <row r="54" spans="1:11" x14ac:dyDescent="0.2">
      <c r="A54" s="11">
        <v>27760</v>
      </c>
      <c r="B54" s="12">
        <v>0.23850000000000002</v>
      </c>
      <c r="C54" s="13">
        <f t="shared" si="7"/>
        <v>1.2384999999999999</v>
      </c>
      <c r="D54" s="13">
        <f t="shared" si="1"/>
        <v>3.2099251696161124E-2</v>
      </c>
      <c r="E54" s="13">
        <f t="shared" si="2"/>
        <v>3.2822800591229884E-2</v>
      </c>
      <c r="F54" s="13">
        <f t="shared" si="3"/>
        <v>6.5035932790621809E-2</v>
      </c>
      <c r="G54" s="13">
        <f t="shared" si="4"/>
        <v>3.3546856727247221E-2</v>
      </c>
      <c r="H54" s="13">
        <f t="shared" si="5"/>
        <v>0.13250765906868023</v>
      </c>
      <c r="I54" s="13">
        <f t="shared" si="6"/>
        <v>7.1033805925159621E-2</v>
      </c>
      <c r="J54" s="1"/>
      <c r="K54" s="1"/>
    </row>
    <row r="55" spans="1:11" x14ac:dyDescent="0.2">
      <c r="A55" s="11">
        <v>28126</v>
      </c>
      <c r="B55" s="12">
        <v>-7.1800000000000003E-2</v>
      </c>
      <c r="C55" s="13">
        <f t="shared" si="7"/>
        <v>0.92820000000000003</v>
      </c>
      <c r="D55" s="13">
        <f t="shared" si="1"/>
        <v>4.8760259156126251E-2</v>
      </c>
      <c r="E55" s="13">
        <f t="shared" si="2"/>
        <v>6.6388127259820795E-2</v>
      </c>
      <c r="F55" s="13">
        <f t="shared" si="3"/>
        <v>6.3315557321950378E-2</v>
      </c>
      <c r="G55" s="13">
        <f t="shared" si="4"/>
        <v>8.4312289708355914E-2</v>
      </c>
      <c r="H55" s="13">
        <f t="shared" si="5"/>
        <v>5.7196950803082736E-2</v>
      </c>
      <c r="I55" s="13">
        <f t="shared" si="6"/>
        <v>7.9116340783745409E-2</v>
      </c>
      <c r="J55" s="1"/>
      <c r="K55" s="1"/>
    </row>
    <row r="56" spans="1:11" x14ac:dyDescent="0.2">
      <c r="A56" s="11">
        <v>28491</v>
      </c>
      <c r="B56" s="12">
        <v>6.5700000000000008E-2</v>
      </c>
      <c r="C56" s="13">
        <f t="shared" si="7"/>
        <v>1.0657000000000001</v>
      </c>
      <c r="D56" s="13">
        <f t="shared" si="1"/>
        <v>-2.0477949684993835E-3</v>
      </c>
      <c r="E56" s="13">
        <f t="shared" si="2"/>
        <v>3.5954763185638061E-2</v>
      </c>
      <c r="F56" s="13">
        <f t="shared" si="3"/>
        <v>6.4509975693801236E-2</v>
      </c>
      <c r="G56" s="13">
        <f t="shared" si="4"/>
        <v>7.5404479248718514E-2</v>
      </c>
      <c r="H56" s="13">
        <f t="shared" si="5"/>
        <v>0.12400339694149221</v>
      </c>
      <c r="I56" s="13">
        <f t="shared" si="6"/>
        <v>8.1258837771152281E-2</v>
      </c>
      <c r="J56" s="1"/>
      <c r="K56" s="1"/>
    </row>
    <row r="57" spans="1:11" x14ac:dyDescent="0.2">
      <c r="A57" s="11">
        <v>28856</v>
      </c>
      <c r="B57" s="12">
        <v>0.18420000000000003</v>
      </c>
      <c r="C57" s="13">
        <f t="shared" si="7"/>
        <v>1.1842000000000001</v>
      </c>
      <c r="D57" s="13">
        <f t="shared" si="1"/>
        <v>4.3317245555188899E-2</v>
      </c>
      <c r="E57" s="13">
        <f t="shared" si="2"/>
        <v>3.1669760553187265E-2</v>
      </c>
      <c r="F57" s="13">
        <f t="shared" si="3"/>
        <v>5.4508839876789894E-2</v>
      </c>
      <c r="G57" s="13">
        <f t="shared" si="4"/>
        <v>2.0152306859927194E-2</v>
      </c>
      <c r="H57" s="13">
        <f t="shared" si="5"/>
        <v>0.1017150246252605</v>
      </c>
      <c r="I57" s="13">
        <f t="shared" si="6"/>
        <v>6.5340663815528943E-2</v>
      </c>
      <c r="J57" s="1"/>
      <c r="K57" s="1"/>
    </row>
    <row r="58" spans="1:11" x14ac:dyDescent="0.2">
      <c r="A58" s="11">
        <v>29221</v>
      </c>
      <c r="B58" s="12">
        <v>0.32409999999999994</v>
      </c>
      <c r="C58" s="13">
        <f t="shared" si="7"/>
        <v>1.3241000000000001</v>
      </c>
      <c r="D58" s="13">
        <f t="shared" si="1"/>
        <v>0.14761620570732159</v>
      </c>
      <c r="E58" s="13">
        <f t="shared" si="2"/>
        <v>5.8610875117743433E-2</v>
      </c>
      <c r="F58" s="13">
        <f t="shared" si="3"/>
        <v>5.5652583893920804E-2</v>
      </c>
      <c r="G58" s="13">
        <f t="shared" si="4"/>
        <v>-2.3491495375974614E-2</v>
      </c>
      <c r="H58" s="13">
        <f t="shared" si="5"/>
        <v>4.9760779204992334E-2</v>
      </c>
      <c r="I58" s="13">
        <f t="shared" si="6"/>
        <v>6.8323382490424578E-2</v>
      </c>
      <c r="J58" s="1"/>
      <c r="K58" s="1"/>
    </row>
    <row r="59" spans="1:11" x14ac:dyDescent="0.2">
      <c r="A59" s="11">
        <v>29587</v>
      </c>
      <c r="B59" s="12">
        <v>-4.9100000000000005E-2</v>
      </c>
      <c r="C59" s="13">
        <f t="shared" si="7"/>
        <v>0.95089999999999997</v>
      </c>
      <c r="D59" s="13">
        <f t="shared" si="1"/>
        <v>0.13947204931441259</v>
      </c>
      <c r="E59" s="13">
        <f t="shared" si="2"/>
        <v>8.4457583046057438E-2</v>
      </c>
      <c r="F59" s="13">
        <f t="shared" si="3"/>
        <v>6.7214629825699479E-2</v>
      </c>
      <c r="G59" s="13">
        <f t="shared" si="4"/>
        <v>3.2099251696161124E-2</v>
      </c>
      <c r="H59" s="13">
        <f t="shared" si="5"/>
        <v>3.3546856727247221E-2</v>
      </c>
      <c r="I59" s="13">
        <f t="shared" si="6"/>
        <v>8.3176213920565178E-2</v>
      </c>
      <c r="J59" s="1"/>
      <c r="K59" s="1"/>
    </row>
    <row r="60" spans="1:11" x14ac:dyDescent="0.2">
      <c r="A60" s="11">
        <v>29952</v>
      </c>
      <c r="B60" s="12">
        <v>0.21410000000000001</v>
      </c>
      <c r="C60" s="13">
        <f t="shared" si="7"/>
        <v>1.2141</v>
      </c>
      <c r="D60" s="13">
        <f t="shared" si="1"/>
        <v>8.0815200433306256E-2</v>
      </c>
      <c r="E60" s="13">
        <f t="shared" si="2"/>
        <v>6.4667098066956585E-2</v>
      </c>
      <c r="F60" s="13">
        <f t="shared" si="3"/>
        <v>7.1175626236825051E-2</v>
      </c>
      <c r="G60" s="13">
        <f t="shared" si="4"/>
        <v>4.8760259156126251E-2</v>
      </c>
      <c r="H60" s="13">
        <f t="shared" si="5"/>
        <v>8.4312289708355914E-2</v>
      </c>
      <c r="I60" s="13">
        <f t="shared" si="6"/>
        <v>6.7663724180652585E-2</v>
      </c>
      <c r="J60" s="1"/>
      <c r="K60" s="1"/>
    </row>
    <row r="61" spans="1:11" x14ac:dyDescent="0.2">
      <c r="A61" s="11">
        <v>30317</v>
      </c>
      <c r="B61" s="12">
        <v>0.22510000000000002</v>
      </c>
      <c r="C61" s="13">
        <f t="shared" si="7"/>
        <v>1.2251000000000001</v>
      </c>
      <c r="D61" s="13">
        <f t="shared" si="1"/>
        <v>0.14044415293989321</v>
      </c>
      <c r="E61" s="13">
        <f t="shared" si="2"/>
        <v>6.6821801962093641E-2</v>
      </c>
      <c r="F61" s="13">
        <f t="shared" si="3"/>
        <v>6.967505645272043E-2</v>
      </c>
      <c r="G61" s="13">
        <f t="shared" si="4"/>
        <v>-2.0477949684993835E-3</v>
      </c>
      <c r="H61" s="13">
        <f t="shared" si="5"/>
        <v>7.5404479248718514E-2</v>
      </c>
      <c r="I61" s="13">
        <f t="shared" si="6"/>
        <v>8.3005862284820209E-2</v>
      </c>
      <c r="J61" s="1"/>
      <c r="K61" s="1"/>
    </row>
    <row r="62" spans="1:11" x14ac:dyDescent="0.2">
      <c r="A62" s="11">
        <v>30682</v>
      </c>
      <c r="B62" s="12">
        <v>6.2699999999999992E-2</v>
      </c>
      <c r="C62" s="13">
        <f t="shared" si="7"/>
        <v>1.0627</v>
      </c>
      <c r="D62" s="13">
        <f t="shared" si="1"/>
        <v>0.17268491272608144</v>
      </c>
      <c r="E62" s="13">
        <f t="shared" si="2"/>
        <v>0.10611138365424222</v>
      </c>
      <c r="F62" s="13">
        <f t="shared" si="3"/>
        <v>7.6682315791447575E-2</v>
      </c>
      <c r="G62" s="13">
        <f t="shared" si="4"/>
        <v>4.3317245555188899E-2</v>
      </c>
      <c r="H62" s="13">
        <f t="shared" si="5"/>
        <v>2.0152306859927194E-2</v>
      </c>
      <c r="I62" s="13">
        <f t="shared" si="6"/>
        <v>8.2886658237339095E-2</v>
      </c>
      <c r="J62" s="1"/>
      <c r="K62" s="1"/>
    </row>
    <row r="63" spans="1:11" x14ac:dyDescent="0.2">
      <c r="A63" s="11">
        <v>31048</v>
      </c>
      <c r="B63" s="12">
        <v>0.32170000000000004</v>
      </c>
      <c r="C63" s="13">
        <f t="shared" si="7"/>
        <v>1.3217000000000001</v>
      </c>
      <c r="D63" s="13">
        <f t="shared" si="1"/>
        <v>0.14756808742834782</v>
      </c>
      <c r="E63" s="13">
        <f t="shared" si="2"/>
        <v>0.14759214631563622</v>
      </c>
      <c r="F63" s="13">
        <f t="shared" si="3"/>
        <v>8.7469424172643917E-2</v>
      </c>
      <c r="G63" s="13">
        <f t="shared" si="4"/>
        <v>0.14761620570732159</v>
      </c>
      <c r="H63" s="13">
        <f t="shared" si="5"/>
        <v>-2.3491495375974614E-2</v>
      </c>
      <c r="I63" s="13">
        <f t="shared" si="6"/>
        <v>7.79171380209287E-2</v>
      </c>
      <c r="J63" s="1"/>
      <c r="K63" s="1"/>
    </row>
    <row r="64" spans="1:11" x14ac:dyDescent="0.2">
      <c r="A64" s="11">
        <v>31413</v>
      </c>
      <c r="B64" s="12">
        <v>0.18469999999999998</v>
      </c>
      <c r="C64" s="13">
        <f t="shared" si="7"/>
        <v>1.1846999999999999</v>
      </c>
      <c r="D64" s="13">
        <f t="shared" si="1"/>
        <v>0.14715178013888797</v>
      </c>
      <c r="E64" s="13">
        <f t="shared" si="2"/>
        <v>0.14330546652656873</v>
      </c>
      <c r="F64" s="13">
        <f t="shared" si="3"/>
        <v>0.10496538806524236</v>
      </c>
      <c r="G64" s="13">
        <f t="shared" si="4"/>
        <v>0.13947204931441259</v>
      </c>
      <c r="H64" s="13">
        <f t="shared" si="5"/>
        <v>3.2099251696161124E-2</v>
      </c>
      <c r="I64" s="13">
        <f t="shared" si="6"/>
        <v>8.6660919454285557E-2</v>
      </c>
      <c r="J64" s="1"/>
      <c r="K64" s="1"/>
    </row>
    <row r="65" spans="1:11" x14ac:dyDescent="0.2">
      <c r="A65" s="11">
        <v>31778</v>
      </c>
      <c r="B65" s="12">
        <v>5.2300000000000006E-2</v>
      </c>
      <c r="C65" s="13">
        <f t="shared" si="7"/>
        <v>1.0523</v>
      </c>
      <c r="D65" s="13">
        <f t="shared" si="1"/>
        <v>0.19871403875025484</v>
      </c>
      <c r="E65" s="13">
        <f t="shared" si="2"/>
        <v>0.13823914624918543</v>
      </c>
      <c r="F65" s="13">
        <f t="shared" si="3"/>
        <v>0.10759525339361287</v>
      </c>
      <c r="G65" s="13">
        <f t="shared" si="4"/>
        <v>8.0815200433306256E-2</v>
      </c>
      <c r="H65" s="13">
        <f t="shared" si="5"/>
        <v>4.8760259156126251E-2</v>
      </c>
      <c r="I65" s="13">
        <f t="shared" si="6"/>
        <v>0.10172805698252341</v>
      </c>
      <c r="J65" s="1"/>
      <c r="K65" s="1"/>
    </row>
    <row r="66" spans="1:11" x14ac:dyDescent="0.2">
      <c r="A66" s="11">
        <v>32143</v>
      </c>
      <c r="B66" s="12">
        <v>0.1681</v>
      </c>
      <c r="C66" s="13">
        <f t="shared" si="7"/>
        <v>1.1680999999999999</v>
      </c>
      <c r="D66" s="13">
        <f t="shared" si="1"/>
        <v>0.16491064493311081</v>
      </c>
      <c r="E66" s="13">
        <f t="shared" si="2"/>
        <v>0.15261248202134547</v>
      </c>
      <c r="F66" s="13">
        <f t="shared" si="3"/>
        <v>9.8564244254409461E-2</v>
      </c>
      <c r="G66" s="13">
        <f t="shared" si="4"/>
        <v>0.14044415293989321</v>
      </c>
      <c r="H66" s="13">
        <f t="shared" si="5"/>
        <v>-2.0477949684993835E-3</v>
      </c>
      <c r="I66" s="13">
        <f t="shared" si="6"/>
        <v>9.272795830308711E-2</v>
      </c>
      <c r="J66" s="1"/>
      <c r="K66" s="1"/>
    </row>
    <row r="67" spans="1:11" x14ac:dyDescent="0.2">
      <c r="A67" s="11">
        <v>32509</v>
      </c>
      <c r="B67" s="12">
        <v>0.31489999999999996</v>
      </c>
      <c r="C67" s="13">
        <f t="shared" si="7"/>
        <v>1.3149</v>
      </c>
      <c r="D67" s="13">
        <f t="shared" si="1"/>
        <v>0.15386316810178591</v>
      </c>
      <c r="E67" s="13">
        <f t="shared" si="2"/>
        <v>0.16323597287192015</v>
      </c>
      <c r="F67" s="13">
        <f t="shared" si="3"/>
        <v>0.12180493148062399</v>
      </c>
      <c r="G67" s="13">
        <f t="shared" si="4"/>
        <v>0.17268491272608144</v>
      </c>
      <c r="H67" s="13">
        <f t="shared" si="5"/>
        <v>4.3317245555188899E-2</v>
      </c>
      <c r="I67" s="13">
        <f t="shared" si="6"/>
        <v>9.5479519479769959E-2</v>
      </c>
      <c r="J67" s="1"/>
      <c r="K67" s="1"/>
    </row>
    <row r="68" spans="1:11" x14ac:dyDescent="0.2">
      <c r="A68" s="11">
        <v>32874</v>
      </c>
      <c r="B68" s="12">
        <v>-3.1699999999999999E-2</v>
      </c>
      <c r="C68" s="13">
        <f t="shared" ref="C68:C78" si="8">1+B68</f>
        <v>0.96830000000000005</v>
      </c>
      <c r="D68" s="13">
        <f t="shared" si="1"/>
        <v>0.20406718251747291</v>
      </c>
      <c r="E68" s="13">
        <f t="shared" si="2"/>
        <v>0.17547823194511603</v>
      </c>
      <c r="F68" s="13">
        <f t="shared" si="3"/>
        <v>0.16611652965768897</v>
      </c>
      <c r="G68" s="13">
        <f t="shared" si="4"/>
        <v>0.14756808742834782</v>
      </c>
      <c r="H68" s="13">
        <f t="shared" si="5"/>
        <v>0.14761620570732159</v>
      </c>
      <c r="I68" s="13">
        <f t="shared" si="6"/>
        <v>0.11551514548269437</v>
      </c>
      <c r="J68" s="1"/>
      <c r="K68" s="1"/>
    </row>
    <row r="69" spans="1:11" x14ac:dyDescent="0.2">
      <c r="A69" s="11">
        <v>33239</v>
      </c>
      <c r="B69" s="12">
        <v>0.30549999999999999</v>
      </c>
      <c r="C69" s="13">
        <f t="shared" si="8"/>
        <v>1.3054999999999999</v>
      </c>
      <c r="D69" s="13">
        <f t="shared" si="1"/>
        <v>0.13142593086149512</v>
      </c>
      <c r="E69" s="13">
        <f t="shared" si="2"/>
        <v>0.13926172176680396</v>
      </c>
      <c r="F69" s="13">
        <f t="shared" si="3"/>
        <v>0.13933182663532406</v>
      </c>
      <c r="G69" s="13">
        <f t="shared" si="4"/>
        <v>0.14715178013888797</v>
      </c>
      <c r="H69" s="13">
        <f t="shared" si="5"/>
        <v>0.13947204931441259</v>
      </c>
      <c r="I69" s="13">
        <f t="shared" si="6"/>
        <v>0.11152193556587897</v>
      </c>
      <c r="J69" s="1"/>
      <c r="K69" s="1"/>
    </row>
    <row r="70" spans="1:11" x14ac:dyDescent="0.2">
      <c r="A70" s="11">
        <v>33604</v>
      </c>
      <c r="B70" s="12">
        <v>7.6700000000000004E-2</v>
      </c>
      <c r="C70" s="13">
        <f t="shared" si="8"/>
        <v>1.0767</v>
      </c>
      <c r="D70" s="13">
        <f t="shared" si="1"/>
        <v>0.15361216087797613</v>
      </c>
      <c r="E70" s="13">
        <f t="shared" si="2"/>
        <v>0.17594689187796542</v>
      </c>
      <c r="F70" s="13">
        <f t="shared" si="3"/>
        <v>0.14334058630901181</v>
      </c>
      <c r="G70" s="13">
        <f t="shared" si="4"/>
        <v>0.19871403875025484</v>
      </c>
      <c r="H70" s="13">
        <f t="shared" si="5"/>
        <v>8.0815200433306256E-2</v>
      </c>
      <c r="I70" s="13">
        <f t="shared" si="6"/>
        <v>0.11892446789610012</v>
      </c>
      <c r="J70" s="1"/>
      <c r="K70" s="1"/>
    </row>
    <row r="71" spans="1:11" x14ac:dyDescent="0.2">
      <c r="A71" s="11">
        <v>33970</v>
      </c>
      <c r="B71" s="12">
        <v>9.9900000000000003E-2</v>
      </c>
      <c r="C71" s="13">
        <f t="shared" si="8"/>
        <v>1.0999000000000001</v>
      </c>
      <c r="D71" s="13">
        <f t="shared" si="1"/>
        <v>0.1589130520992541</v>
      </c>
      <c r="E71" s="13">
        <f t="shared" si="2"/>
        <v>0.16190797868950968</v>
      </c>
      <c r="F71" s="13">
        <f t="shared" si="3"/>
        <v>0.15470885684326352</v>
      </c>
      <c r="G71" s="13">
        <f t="shared" si="4"/>
        <v>0.16491064493311081</v>
      </c>
      <c r="H71" s="13">
        <f t="shared" si="5"/>
        <v>0.14044415293989321</v>
      </c>
      <c r="I71" s="13">
        <f t="shared" si="6"/>
        <v>0.11335024297822671</v>
      </c>
      <c r="J71" s="1"/>
      <c r="K71" s="1"/>
    </row>
    <row r="72" spans="1:11" x14ac:dyDescent="0.2">
      <c r="A72" s="11">
        <v>34335</v>
      </c>
      <c r="B72" s="12">
        <v>1.3100000000000001E-2</v>
      </c>
      <c r="C72" s="13">
        <f t="shared" si="8"/>
        <v>1.0131000000000001</v>
      </c>
      <c r="D72" s="13">
        <f t="shared" si="1"/>
        <v>0.14505273837852184</v>
      </c>
      <c r="E72" s="13">
        <f t="shared" si="2"/>
        <v>0.14944951187473499</v>
      </c>
      <c r="F72" s="13">
        <f t="shared" si="3"/>
        <v>0.1571430361147943</v>
      </c>
      <c r="G72" s="13">
        <f t="shared" si="4"/>
        <v>0.15386316810178591</v>
      </c>
      <c r="H72" s="13">
        <f t="shared" si="5"/>
        <v>0.17268491272608144</v>
      </c>
      <c r="I72" s="13">
        <f t="shared" si="6"/>
        <v>0.12757225490008239</v>
      </c>
      <c r="J72" s="1"/>
      <c r="K72" s="1"/>
    </row>
    <row r="73" spans="1:11" x14ac:dyDescent="0.2">
      <c r="A73" s="11">
        <v>34700</v>
      </c>
      <c r="B73" s="12">
        <v>0.37430000000000002</v>
      </c>
      <c r="C73" s="13">
        <f t="shared" si="8"/>
        <v>1.3743000000000001</v>
      </c>
      <c r="D73" s="13">
        <f t="shared" ref="D73:D78" si="9">GEOMEAN(C68:C72)-1</f>
        <v>8.6869515133563668E-2</v>
      </c>
      <c r="E73" s="13">
        <f t="shared" si="2"/>
        <v>0.1439684938192145</v>
      </c>
      <c r="F73" s="13">
        <f t="shared" si="3"/>
        <v>0.14516710205921579</v>
      </c>
      <c r="G73" s="13">
        <f t="shared" si="4"/>
        <v>0.20406718251747291</v>
      </c>
      <c r="H73" s="13">
        <f t="shared" si="5"/>
        <v>0.14756808742834782</v>
      </c>
      <c r="I73" s="13">
        <f t="shared" si="6"/>
        <v>0.14577888754307988</v>
      </c>
      <c r="J73" s="1"/>
      <c r="K73" s="1"/>
    </row>
    <row r="74" spans="1:11" x14ac:dyDescent="0.2">
      <c r="A74" s="11">
        <v>35065</v>
      </c>
      <c r="B74" s="12">
        <v>0.23070000000000002</v>
      </c>
      <c r="C74" s="13">
        <f t="shared" si="8"/>
        <v>1.2307000000000001</v>
      </c>
      <c r="D74" s="13">
        <f t="shared" si="9"/>
        <v>0.16571324394624165</v>
      </c>
      <c r="E74" s="13">
        <f t="shared" si="2"/>
        <v>0.14844163637054253</v>
      </c>
      <c r="F74" s="13">
        <f t="shared" si="3"/>
        <v>0.14801152322791666</v>
      </c>
      <c r="G74" s="13">
        <f t="shared" si="4"/>
        <v>0.13142593086149512</v>
      </c>
      <c r="H74" s="13">
        <f t="shared" si="5"/>
        <v>0.14715178013888797</v>
      </c>
      <c r="I74" s="13">
        <f t="shared" si="6"/>
        <v>0.14587067370151297</v>
      </c>
      <c r="J74" s="1"/>
      <c r="K74" s="1"/>
    </row>
    <row r="75" spans="1:11" x14ac:dyDescent="0.2">
      <c r="A75" s="11">
        <v>35431</v>
      </c>
      <c r="B75" s="12">
        <v>0.3337</v>
      </c>
      <c r="C75" s="13">
        <f t="shared" si="8"/>
        <v>1.3336999999999999</v>
      </c>
      <c r="D75" s="13">
        <f t="shared" si="9"/>
        <v>0.15203797605348068</v>
      </c>
      <c r="E75" s="13">
        <f t="shared" si="2"/>
        <v>0.15282479977165053</v>
      </c>
      <c r="F75" s="13">
        <f t="shared" si="3"/>
        <v>0.16792262288020976</v>
      </c>
      <c r="G75" s="13">
        <f t="shared" si="4"/>
        <v>0.15361216087797613</v>
      </c>
      <c r="H75" s="13">
        <f t="shared" si="5"/>
        <v>0.19871403875025484</v>
      </c>
      <c r="I75" s="13">
        <f t="shared" si="6"/>
        <v>0.14550875852913991</v>
      </c>
      <c r="J75" s="1"/>
      <c r="K75" s="1"/>
    </row>
    <row r="76" spans="1:11" x14ac:dyDescent="0.2">
      <c r="A76" s="11">
        <v>35796</v>
      </c>
      <c r="B76" s="12">
        <v>0.2858</v>
      </c>
      <c r="C76" s="13">
        <f t="shared" si="8"/>
        <v>1.2858000000000001</v>
      </c>
      <c r="D76" s="13">
        <f t="shared" si="9"/>
        <v>0.20242911401468722</v>
      </c>
      <c r="E76" s="13">
        <f t="shared" si="2"/>
        <v>0.18047058178328301</v>
      </c>
      <c r="F76" s="13">
        <f t="shared" si="3"/>
        <v>0.1752609791905122</v>
      </c>
      <c r="G76" s="13">
        <f t="shared" si="4"/>
        <v>0.1589130520992541</v>
      </c>
      <c r="H76" s="13">
        <f t="shared" si="5"/>
        <v>0.16491064493311081</v>
      </c>
      <c r="I76" s="13">
        <f t="shared" si="6"/>
        <v>0.16645836926244884</v>
      </c>
      <c r="J76" s="1"/>
      <c r="K76" s="1"/>
    </row>
    <row r="77" spans="1:11" x14ac:dyDescent="0.2">
      <c r="A77" s="11">
        <v>36161</v>
      </c>
      <c r="B77" s="12">
        <v>0.21030000000000001</v>
      </c>
      <c r="C77" s="13">
        <f t="shared" si="8"/>
        <v>1.2102999999999999</v>
      </c>
      <c r="D77" s="13">
        <f t="shared" si="9"/>
        <v>0.2405764338952987</v>
      </c>
      <c r="E77" s="13">
        <f t="shared" si="2"/>
        <v>0.19185797929102</v>
      </c>
      <c r="F77" s="13">
        <f t="shared" si="3"/>
        <v>0.17905602657170694</v>
      </c>
      <c r="G77" s="13">
        <f t="shared" si="4"/>
        <v>0.14505273837852184</v>
      </c>
      <c r="H77" s="13">
        <f t="shared" si="5"/>
        <v>0.15386316810178591</v>
      </c>
      <c r="I77" s="13">
        <f t="shared" si="6"/>
        <v>0.17746001038920656</v>
      </c>
      <c r="J77" s="1"/>
      <c r="K77" s="1"/>
    </row>
    <row r="78" spans="1:11" x14ac:dyDescent="0.2">
      <c r="A78" s="11">
        <v>36526</v>
      </c>
      <c r="B78" s="12">
        <v>-9.0999999999999998E-2</v>
      </c>
      <c r="C78" s="13">
        <f t="shared" si="8"/>
        <v>0.90900000000000003</v>
      </c>
      <c r="D78" s="13">
        <f t="shared" si="9"/>
        <v>0.28549878527759942</v>
      </c>
      <c r="E78" s="13">
        <f>GEOMEAN(C68:C77)-1</f>
        <v>0.18201922211927246</v>
      </c>
      <c r="F78" s="13">
        <f t="shared" si="3"/>
        <v>0.18932331484934584</v>
      </c>
      <c r="G78" s="13">
        <f t="shared" si="4"/>
        <v>8.6869515133563668E-2</v>
      </c>
      <c r="H78" s="13">
        <f t="shared" si="5"/>
        <v>0.20406718251747291</v>
      </c>
      <c r="I78" s="13">
        <f t="shared" si="6"/>
        <v>0.1787441899504334</v>
      </c>
      <c r="J78" s="1"/>
      <c r="K7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workbookViewId="0">
      <selection activeCell="B7" sqref="B7"/>
    </sheetView>
  </sheetViews>
  <sheetFormatPr defaultColWidth="10.6640625" defaultRowHeight="15.75" x14ac:dyDescent="0.25"/>
  <cols>
    <col min="1" max="1" width="51.83203125" style="2" bestFit="1" customWidth="1"/>
    <col min="2" max="2" width="13" style="46" customWidth="1"/>
    <col min="3" max="3" width="14.6640625" style="46" customWidth="1"/>
    <col min="4" max="4" width="13" style="46" customWidth="1"/>
    <col min="5" max="5" width="13.33203125" style="46" customWidth="1"/>
    <col min="6" max="6" width="14.6640625" style="46" customWidth="1"/>
    <col min="7" max="7" width="14.1640625" style="46" bestFit="1" customWidth="1"/>
    <col min="8" max="8" width="14.83203125" style="46" bestFit="1" customWidth="1"/>
    <col min="9" max="9" width="14.5" style="46" bestFit="1" customWidth="1"/>
    <col min="10" max="10" width="10.6640625" style="46"/>
    <col min="11" max="16384" width="10.6640625" style="2"/>
  </cols>
  <sheetData>
    <row r="1" spans="1:9" x14ac:dyDescent="0.25">
      <c r="A1" s="3" t="s">
        <v>14</v>
      </c>
      <c r="B1" s="45"/>
      <c r="C1" s="45"/>
      <c r="D1" s="45"/>
      <c r="E1" s="45"/>
      <c r="F1" s="45"/>
      <c r="G1" s="45"/>
      <c r="H1" s="45"/>
      <c r="I1" s="45"/>
    </row>
    <row r="2" spans="1:9" ht="16.5" thickBot="1" x14ac:dyDescent="0.3"/>
    <row r="3" spans="1:9" x14ac:dyDescent="0.25">
      <c r="A3" s="41" t="s">
        <v>15</v>
      </c>
      <c r="B3" s="47"/>
      <c r="C3" s="48"/>
      <c r="D3" s="48"/>
      <c r="E3" s="48"/>
      <c r="F3" s="48"/>
      <c r="G3" s="48"/>
      <c r="H3" s="48"/>
      <c r="I3" s="48"/>
    </row>
    <row r="4" spans="1:9" x14ac:dyDescent="0.25">
      <c r="A4" s="38" t="s">
        <v>16</v>
      </c>
      <c r="B4" s="51">
        <v>0.10399854200766155</v>
      </c>
      <c r="C4" s="48"/>
      <c r="D4" s="48"/>
      <c r="E4" s="48"/>
      <c r="F4" s="48"/>
      <c r="G4" s="48"/>
      <c r="H4" s="48"/>
      <c r="I4" s="48"/>
    </row>
    <row r="5" spans="1:9" x14ac:dyDescent="0.25">
      <c r="A5" s="38" t="s">
        <v>17</v>
      </c>
      <c r="B5" s="51">
        <v>1.0815696739719344E-2</v>
      </c>
      <c r="C5" s="48"/>
      <c r="D5" s="48"/>
      <c r="E5" s="48"/>
      <c r="F5" s="48"/>
      <c r="G5" s="48"/>
      <c r="H5" s="48"/>
      <c r="I5" s="48"/>
    </row>
    <row r="6" spans="1:9" x14ac:dyDescent="0.25">
      <c r="A6" s="38" t="s">
        <v>18</v>
      </c>
      <c r="B6" s="51">
        <v>-7.8481580387765176E-3</v>
      </c>
      <c r="C6" s="48"/>
      <c r="D6" s="48"/>
      <c r="E6" s="48"/>
      <c r="F6" s="48"/>
      <c r="G6" s="48"/>
      <c r="H6" s="48"/>
      <c r="I6" s="48"/>
    </row>
    <row r="7" spans="1:9" x14ac:dyDescent="0.25">
      <c r="A7" s="42" t="s">
        <v>19</v>
      </c>
      <c r="B7" s="53">
        <v>0.1658639615243348</v>
      </c>
      <c r="C7" s="48"/>
      <c r="D7" s="48"/>
      <c r="E7" s="48"/>
      <c r="F7" s="48"/>
      <c r="G7" s="48"/>
      <c r="H7" s="48"/>
      <c r="I7" s="48"/>
    </row>
    <row r="8" spans="1:9" ht="16.5" thickBot="1" x14ac:dyDescent="0.3">
      <c r="A8" s="39" t="s">
        <v>20</v>
      </c>
      <c r="B8" s="50">
        <v>55</v>
      </c>
      <c r="C8" s="48"/>
      <c r="D8" s="48"/>
      <c r="E8" s="48"/>
      <c r="F8" s="48"/>
      <c r="G8" s="48"/>
      <c r="H8" s="48"/>
      <c r="I8" s="48"/>
    </row>
    <row r="9" spans="1:9" x14ac:dyDescent="0.25">
      <c r="A9"/>
      <c r="B9" s="48"/>
      <c r="C9" s="48"/>
      <c r="D9" s="48"/>
      <c r="E9" s="48"/>
      <c r="F9" s="48"/>
      <c r="G9" s="48"/>
      <c r="H9" s="48"/>
      <c r="I9" s="48"/>
    </row>
    <row r="10" spans="1:9" ht="16.5" thickBot="1" x14ac:dyDescent="0.3">
      <c r="A10" t="s">
        <v>21</v>
      </c>
      <c r="B10" s="48"/>
      <c r="C10" s="48"/>
      <c r="D10" s="48"/>
      <c r="E10" s="48"/>
      <c r="F10" s="48"/>
      <c r="G10" s="48"/>
      <c r="H10" s="48"/>
      <c r="I10" s="48"/>
    </row>
    <row r="11" spans="1:9" x14ac:dyDescent="0.25">
      <c r="A11" s="40"/>
      <c r="B11" s="47" t="s">
        <v>22</v>
      </c>
      <c r="C11" s="47" t="s">
        <v>23</v>
      </c>
      <c r="D11" s="47" t="s">
        <v>24</v>
      </c>
      <c r="E11" s="47" t="s">
        <v>25</v>
      </c>
      <c r="F11" s="47" t="s">
        <v>26</v>
      </c>
      <c r="G11" s="48"/>
      <c r="H11" s="48"/>
      <c r="I11" s="48"/>
    </row>
    <row r="12" spans="1:9" x14ac:dyDescent="0.25">
      <c r="A12" s="38" t="s">
        <v>27</v>
      </c>
      <c r="B12" s="49">
        <v>1</v>
      </c>
      <c r="C12" s="51">
        <v>1.5942529265970506E-2</v>
      </c>
      <c r="D12" s="51">
        <v>1.5942529265970506E-2</v>
      </c>
      <c r="E12" s="51">
        <v>0.57949961934878458</v>
      </c>
      <c r="F12" s="51">
        <v>0.44988248356499916</v>
      </c>
      <c r="G12" s="48"/>
      <c r="H12" s="48"/>
      <c r="I12" s="48"/>
    </row>
    <row r="13" spans="1:9" x14ac:dyDescent="0.25">
      <c r="A13" s="38" t="s">
        <v>28</v>
      </c>
      <c r="B13" s="49">
        <v>53</v>
      </c>
      <c r="C13" s="51">
        <v>1.458075247824939</v>
      </c>
      <c r="D13" s="51">
        <v>2.7510853732546019E-2</v>
      </c>
      <c r="E13" s="49"/>
      <c r="F13" s="49"/>
      <c r="G13" s="48"/>
      <c r="H13" s="48"/>
      <c r="I13" s="48"/>
    </row>
    <row r="14" spans="1:9" ht="16.5" thickBot="1" x14ac:dyDescent="0.3">
      <c r="A14" s="39" t="s">
        <v>29</v>
      </c>
      <c r="B14" s="50">
        <v>54</v>
      </c>
      <c r="C14" s="52">
        <v>1.4740177770909095</v>
      </c>
      <c r="D14" s="50"/>
      <c r="E14" s="50"/>
      <c r="F14" s="50"/>
      <c r="G14" s="48"/>
      <c r="H14" s="48"/>
      <c r="I14" s="48"/>
    </row>
    <row r="15" spans="1:9" ht="16.5" thickBot="1" x14ac:dyDescent="0.3">
      <c r="A15"/>
      <c r="B15" s="48"/>
      <c r="C15" s="48"/>
      <c r="D15" s="48"/>
      <c r="E15" s="48"/>
      <c r="F15" s="48"/>
      <c r="G15" s="48"/>
      <c r="H15" s="48"/>
      <c r="I15" s="48"/>
    </row>
    <row r="16" spans="1:9" x14ac:dyDescent="0.25">
      <c r="A16" s="40"/>
      <c r="B16" s="47" t="s">
        <v>30</v>
      </c>
      <c r="C16" s="47" t="s">
        <v>19</v>
      </c>
      <c r="D16" s="47" t="s">
        <v>31</v>
      </c>
      <c r="E16" s="47" t="s">
        <v>32</v>
      </c>
      <c r="F16" s="47" t="s">
        <v>33</v>
      </c>
      <c r="G16" s="47" t="s">
        <v>34</v>
      </c>
      <c r="H16" s="47" t="s">
        <v>35</v>
      </c>
      <c r="I16" s="47" t="s">
        <v>36</v>
      </c>
    </row>
    <row r="17" spans="1:9" x14ac:dyDescent="0.25">
      <c r="A17" s="43" t="s">
        <v>49</v>
      </c>
      <c r="B17" s="53">
        <v>0.19084456064456193</v>
      </c>
      <c r="C17" s="51">
        <v>7.3867063972595196E-2</v>
      </c>
      <c r="D17" s="51">
        <v>2.5836218522962491</v>
      </c>
      <c r="E17" s="51">
        <v>1.2570491552802526E-2</v>
      </c>
      <c r="F17" s="51">
        <v>4.2685992895640235E-2</v>
      </c>
      <c r="G17" s="51">
        <v>0.33900312839348362</v>
      </c>
      <c r="H17" s="51">
        <v>4.2685992895640235E-2</v>
      </c>
      <c r="I17" s="51">
        <v>0.33900312839348362</v>
      </c>
    </row>
    <row r="18" spans="1:9" ht="16.5" thickBot="1" x14ac:dyDescent="0.3">
      <c r="A18" s="44" t="s">
        <v>50</v>
      </c>
      <c r="B18" s="54">
        <v>-0.47940960877334321</v>
      </c>
      <c r="C18" s="52">
        <v>0.62976737279433248</v>
      </c>
      <c r="D18" s="52">
        <v>-0.7612487237091391</v>
      </c>
      <c r="E18" s="52">
        <v>0.44988248356499572</v>
      </c>
      <c r="F18" s="52">
        <v>-1.7425629947374315</v>
      </c>
      <c r="G18" s="52">
        <v>0.78374377719074495</v>
      </c>
      <c r="H18" s="52">
        <v>-1.7425629947374315</v>
      </c>
      <c r="I18" s="52">
        <v>0.78374377719074495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51"/>
  <sheetViews>
    <sheetView tabSelected="1" topLeftCell="A6" workbookViewId="0">
      <selection activeCell="D23" sqref="D23"/>
    </sheetView>
  </sheetViews>
  <sheetFormatPr defaultRowHeight="12.75" x14ac:dyDescent="0.2"/>
  <cols>
    <col min="1" max="1" width="9.33203125" style="15"/>
    <col min="2" max="2" width="15.33203125" style="15" bestFit="1" customWidth="1"/>
    <col min="3" max="3" width="15.5" style="15" customWidth="1"/>
    <col min="4" max="4" width="19.5" style="15" customWidth="1"/>
    <col min="5" max="5" width="14.6640625" style="15" customWidth="1"/>
    <col min="6" max="6" width="11.1640625" style="15" bestFit="1" customWidth="1"/>
    <col min="7" max="7" width="11.5" style="15" customWidth="1"/>
    <col min="8" max="8" width="31.33203125" style="15" bestFit="1" customWidth="1"/>
    <col min="9" max="9" width="9.33203125" style="15"/>
    <col min="10" max="10" width="42.6640625" style="15" bestFit="1" customWidth="1"/>
    <col min="11" max="12" width="9.33203125" style="15"/>
    <col min="13" max="13" width="12.33203125" style="15" customWidth="1"/>
    <col min="14" max="16384" width="9.33203125" style="15"/>
  </cols>
  <sheetData>
    <row r="1" spans="1:13" ht="15.75" x14ac:dyDescent="0.25">
      <c r="A1" s="25"/>
      <c r="B1" s="25"/>
      <c r="C1" s="25"/>
      <c r="D1" s="25"/>
      <c r="E1" s="25"/>
      <c r="F1" s="25"/>
      <c r="G1" s="25"/>
      <c r="H1" s="25"/>
    </row>
    <row r="2" spans="1:13" ht="31.5" x14ac:dyDescent="0.25">
      <c r="A2" s="25"/>
      <c r="B2" s="26" t="s">
        <v>0</v>
      </c>
      <c r="C2" s="26" t="s">
        <v>38</v>
      </c>
      <c r="D2" s="27" t="s">
        <v>39</v>
      </c>
      <c r="E2" s="27" t="s">
        <v>3</v>
      </c>
      <c r="F2" s="25"/>
      <c r="G2" s="25"/>
      <c r="H2" s="25"/>
    </row>
    <row r="3" spans="1:13" ht="15.75" x14ac:dyDescent="0.25">
      <c r="A3" s="25"/>
      <c r="B3" s="28">
        <v>29221</v>
      </c>
      <c r="C3" s="29">
        <v>0.3241</v>
      </c>
      <c r="D3" s="25"/>
      <c r="E3" s="29">
        <f>1+C3</f>
        <v>1.3241000000000001</v>
      </c>
      <c r="F3" s="25"/>
      <c r="G3" s="25"/>
      <c r="H3" s="25"/>
    </row>
    <row r="4" spans="1:13" ht="15.75" x14ac:dyDescent="0.25">
      <c r="A4" s="25"/>
      <c r="B4" s="28">
        <v>29587</v>
      </c>
      <c r="C4" s="29">
        <v>-4.9099999999999998E-2</v>
      </c>
      <c r="D4" s="25"/>
      <c r="E4" s="29">
        <f t="shared" ref="E4:E24" si="0">1+C4</f>
        <v>0.95089999999999997</v>
      </c>
      <c r="F4" s="25"/>
      <c r="G4" s="25"/>
      <c r="H4" s="25"/>
    </row>
    <row r="5" spans="1:13" ht="15.75" x14ac:dyDescent="0.25">
      <c r="A5" s="25"/>
      <c r="B5" s="28">
        <v>29952</v>
      </c>
      <c r="C5" s="29">
        <v>0.21410000000000001</v>
      </c>
      <c r="D5" s="25"/>
      <c r="E5" s="29">
        <f t="shared" si="0"/>
        <v>1.2141</v>
      </c>
      <c r="F5" s="25"/>
      <c r="G5" s="25"/>
      <c r="H5" s="25"/>
    </row>
    <row r="6" spans="1:13" ht="15.75" x14ac:dyDescent="0.25">
      <c r="A6" s="25"/>
      <c r="B6" s="28">
        <v>30317</v>
      </c>
      <c r="C6" s="29">
        <v>0.22509999999999999</v>
      </c>
      <c r="D6" s="25"/>
      <c r="E6" s="29">
        <f t="shared" si="0"/>
        <v>1.2251000000000001</v>
      </c>
      <c r="F6" s="25"/>
      <c r="G6" s="25"/>
      <c r="H6" s="25"/>
    </row>
    <row r="7" spans="1:13" ht="15.75" x14ac:dyDescent="0.25">
      <c r="A7" s="25"/>
      <c r="B7" s="28">
        <v>30682</v>
      </c>
      <c r="C7" s="29">
        <v>6.2700000000000006E-2</v>
      </c>
      <c r="D7" s="25"/>
      <c r="E7" s="29">
        <f t="shared" si="0"/>
        <v>1.0627</v>
      </c>
      <c r="F7" s="25"/>
      <c r="G7" s="25"/>
      <c r="H7" s="25"/>
    </row>
    <row r="8" spans="1:13" ht="15.75" x14ac:dyDescent="0.25">
      <c r="A8" s="25"/>
      <c r="B8" s="28">
        <v>31048</v>
      </c>
      <c r="C8" s="29">
        <v>0.32169999999999999</v>
      </c>
      <c r="D8" s="25"/>
      <c r="E8" s="29">
        <f t="shared" si="0"/>
        <v>1.3216999999999999</v>
      </c>
      <c r="F8" s="25"/>
      <c r="G8" s="25"/>
      <c r="H8" s="25"/>
    </row>
    <row r="9" spans="1:13" ht="15.75" x14ac:dyDescent="0.25">
      <c r="A9" s="25"/>
      <c r="B9" s="28">
        <v>31413</v>
      </c>
      <c r="C9" s="29">
        <v>0.1847</v>
      </c>
      <c r="D9" s="25"/>
      <c r="E9" s="29">
        <f t="shared" si="0"/>
        <v>1.1847000000000001</v>
      </c>
      <c r="F9" s="25"/>
      <c r="G9" s="25"/>
      <c r="H9" s="25"/>
    </row>
    <row r="10" spans="1:13" ht="15.75" x14ac:dyDescent="0.25">
      <c r="A10" s="25"/>
      <c r="B10" s="28">
        <v>31778</v>
      </c>
      <c r="C10" s="29">
        <v>5.2299999999999999E-2</v>
      </c>
      <c r="D10" s="25"/>
      <c r="E10" s="29">
        <f t="shared" si="0"/>
        <v>1.0523</v>
      </c>
      <c r="F10" s="25"/>
      <c r="G10" s="25"/>
      <c r="H10" s="25"/>
    </row>
    <row r="11" spans="1:13" ht="15.75" x14ac:dyDescent="0.25">
      <c r="A11" s="25"/>
      <c r="B11" s="28">
        <v>32143</v>
      </c>
      <c r="C11" s="29">
        <v>0.1681</v>
      </c>
      <c r="D11" s="25"/>
      <c r="E11" s="29">
        <f t="shared" si="0"/>
        <v>1.1680999999999999</v>
      </c>
      <c r="F11" s="25"/>
      <c r="G11" s="25"/>
      <c r="H11" s="25"/>
    </row>
    <row r="12" spans="1:13" ht="15.75" x14ac:dyDescent="0.25">
      <c r="A12" s="25"/>
      <c r="B12" s="28">
        <v>32509</v>
      </c>
      <c r="C12" s="29">
        <v>0.31490000000000001</v>
      </c>
      <c r="D12" s="25"/>
      <c r="E12" s="29">
        <f t="shared" si="0"/>
        <v>1.3149</v>
      </c>
      <c r="F12" s="25"/>
      <c r="G12" s="25"/>
      <c r="H12" s="25"/>
    </row>
    <row r="13" spans="1:13" ht="15.75" x14ac:dyDescent="0.25">
      <c r="A13" s="25"/>
      <c r="B13" s="28">
        <v>32874</v>
      </c>
      <c r="C13" s="29">
        <v>-3.1699999999999999E-2</v>
      </c>
      <c r="D13" s="25"/>
      <c r="E13" s="29">
        <f t="shared" si="0"/>
        <v>0.96830000000000005</v>
      </c>
      <c r="F13" s="25"/>
      <c r="G13" s="25"/>
      <c r="H13" s="25"/>
    </row>
    <row r="14" spans="1:13" ht="15.75" x14ac:dyDescent="0.25">
      <c r="A14" s="25"/>
      <c r="B14" s="28">
        <v>33239</v>
      </c>
      <c r="C14" s="29">
        <v>0.30549999999999999</v>
      </c>
      <c r="D14" s="25"/>
      <c r="E14" s="29">
        <f t="shared" si="0"/>
        <v>1.3054999999999999</v>
      </c>
      <c r="F14" s="25"/>
      <c r="G14" s="25"/>
      <c r="H14" s="25"/>
      <c r="J14" s="16"/>
      <c r="K14" s="16"/>
      <c r="L14" s="16"/>
      <c r="M14" s="16"/>
    </row>
    <row r="15" spans="1:13" ht="15.75" x14ac:dyDescent="0.25">
      <c r="A15" s="25"/>
      <c r="B15" s="28">
        <v>33604</v>
      </c>
      <c r="C15" s="29">
        <v>7.6700000000000004E-2</v>
      </c>
      <c r="D15" s="25"/>
      <c r="E15" s="29">
        <f t="shared" si="0"/>
        <v>1.0767</v>
      </c>
      <c r="F15" s="25"/>
      <c r="G15" s="25"/>
      <c r="H15" s="25"/>
      <c r="J15" s="17" t="s">
        <v>2</v>
      </c>
      <c r="K15" s="17"/>
      <c r="L15" s="17"/>
      <c r="M15" s="18"/>
    </row>
    <row r="16" spans="1:13" ht="15.75" x14ac:dyDescent="0.25">
      <c r="A16" s="25"/>
      <c r="B16" s="28">
        <v>33970</v>
      </c>
      <c r="C16" s="29">
        <v>9.9900000000000003E-2</v>
      </c>
      <c r="D16" s="25"/>
      <c r="E16" s="29">
        <f t="shared" si="0"/>
        <v>1.0999000000000001</v>
      </c>
      <c r="F16" s="25"/>
      <c r="G16" s="25"/>
      <c r="H16" s="25"/>
      <c r="J16" s="19" t="s">
        <v>40</v>
      </c>
      <c r="K16" s="19"/>
      <c r="L16" s="19"/>
    </row>
    <row r="17" spans="1:13" ht="15.75" x14ac:dyDescent="0.25">
      <c r="A17" s="25"/>
      <c r="B17" s="28">
        <v>34335</v>
      </c>
      <c r="C17" s="29">
        <v>1.3100000000000001E-2</v>
      </c>
      <c r="D17" s="25"/>
      <c r="E17" s="29">
        <f t="shared" si="0"/>
        <v>1.0131000000000001</v>
      </c>
      <c r="F17" s="25"/>
      <c r="G17" s="25"/>
      <c r="H17" s="25"/>
      <c r="J17" s="19" t="s">
        <v>41</v>
      </c>
      <c r="K17" s="19"/>
      <c r="L17" s="19"/>
    </row>
    <row r="18" spans="1:13" ht="15.75" x14ac:dyDescent="0.25">
      <c r="A18" s="25"/>
      <c r="B18" s="28">
        <v>34700</v>
      </c>
      <c r="C18" s="29">
        <v>0.37430000000000002</v>
      </c>
      <c r="D18" s="25"/>
      <c r="E18" s="29">
        <f t="shared" si="0"/>
        <v>1.3743000000000001</v>
      </c>
      <c r="F18" s="25"/>
      <c r="G18" s="25"/>
      <c r="H18" s="25"/>
      <c r="J18" s="20" t="s">
        <v>42</v>
      </c>
      <c r="K18" s="20"/>
      <c r="L18" s="20"/>
      <c r="M18" s="16"/>
    </row>
    <row r="19" spans="1:13" ht="15.75" x14ac:dyDescent="0.25">
      <c r="A19" s="25"/>
      <c r="B19" s="28">
        <v>35065</v>
      </c>
      <c r="C19" s="29">
        <v>0.23069999999999999</v>
      </c>
      <c r="D19" s="25"/>
      <c r="E19" s="29">
        <f t="shared" si="0"/>
        <v>1.2306999999999999</v>
      </c>
      <c r="F19" s="25"/>
      <c r="G19" s="25"/>
      <c r="H19" s="25"/>
    </row>
    <row r="20" spans="1:13" ht="15.75" x14ac:dyDescent="0.25">
      <c r="A20" s="25"/>
      <c r="B20" s="28">
        <v>35431</v>
      </c>
      <c r="C20" s="29">
        <v>0.3337</v>
      </c>
      <c r="D20" s="25"/>
      <c r="E20" s="29">
        <f t="shared" si="0"/>
        <v>1.3336999999999999</v>
      </c>
      <c r="F20" s="25"/>
      <c r="G20" s="25"/>
      <c r="H20" s="30" t="s">
        <v>43</v>
      </c>
      <c r="I20" s="21"/>
      <c r="J20" s="21"/>
      <c r="K20" s="21"/>
      <c r="L20" s="21"/>
      <c r="M20" s="21"/>
    </row>
    <row r="21" spans="1:13" ht="15.75" x14ac:dyDescent="0.25">
      <c r="A21" s="25"/>
      <c r="B21" s="28">
        <v>35796</v>
      </c>
      <c r="C21" s="29">
        <v>0.2858</v>
      </c>
      <c r="D21" s="25"/>
      <c r="E21" s="29">
        <f t="shared" si="0"/>
        <v>1.2858000000000001</v>
      </c>
      <c r="F21" s="25"/>
      <c r="G21" s="25"/>
      <c r="H21" s="31" t="s">
        <v>44</v>
      </c>
      <c r="I21" s="22"/>
      <c r="J21" s="22" t="s">
        <v>52</v>
      </c>
      <c r="K21" s="22"/>
      <c r="L21" s="22"/>
      <c r="M21" s="22"/>
    </row>
    <row r="22" spans="1:13" ht="15.75" x14ac:dyDescent="0.25">
      <c r="A22" s="25"/>
      <c r="B22" s="28">
        <v>36161</v>
      </c>
      <c r="C22" s="29">
        <v>0.21029999999999999</v>
      </c>
      <c r="D22" s="25"/>
      <c r="E22" s="29">
        <f t="shared" si="0"/>
        <v>1.2102999999999999</v>
      </c>
      <c r="F22" s="25"/>
      <c r="G22" s="25"/>
      <c r="H22" s="32" t="s">
        <v>45</v>
      </c>
      <c r="I22" s="23"/>
      <c r="J22" s="23" t="s">
        <v>51</v>
      </c>
      <c r="K22" s="23"/>
      <c r="L22" s="23"/>
      <c r="M22" s="23"/>
    </row>
    <row r="23" spans="1:13" ht="47.25" x14ac:dyDescent="0.25">
      <c r="A23" s="25"/>
      <c r="B23" s="28">
        <v>36526</v>
      </c>
      <c r="C23" s="29">
        <v>-9.0999999999999998E-2</v>
      </c>
      <c r="D23" s="33" t="s">
        <v>1</v>
      </c>
      <c r="E23" s="29">
        <f t="shared" si="0"/>
        <v>0.90900000000000003</v>
      </c>
      <c r="F23" s="33" t="s">
        <v>46</v>
      </c>
      <c r="G23" s="25" t="s">
        <v>47</v>
      </c>
      <c r="H23" s="25"/>
    </row>
    <row r="24" spans="1:13" ht="15.75" x14ac:dyDescent="0.25">
      <c r="A24" s="25"/>
      <c r="B24" s="34">
        <v>36892</v>
      </c>
      <c r="C24" s="35">
        <f ca="1">_xll.RiskNormal(0.1908-0.4794*D24,0.1659)</f>
        <v>-0.25074888468423884</v>
      </c>
      <c r="D24" s="36">
        <f>GEOMEAN(E4:E23)-1</f>
        <v>0.15678252681881055</v>
      </c>
      <c r="E24" s="37">
        <f t="shared" ca="1" si="0"/>
        <v>0.74925111531576116</v>
      </c>
      <c r="F24" s="37">
        <f ca="1">_xll.RiskNormal(0.1298,0.2017)</f>
        <v>0.36404972125492185</v>
      </c>
      <c r="G24" s="37">
        <f ca="1">1+F24</f>
        <v>1.3640497212549219</v>
      </c>
      <c r="H24" s="25"/>
    </row>
    <row r="25" spans="1:13" ht="15.75" x14ac:dyDescent="0.25">
      <c r="A25" s="25"/>
      <c r="B25" s="34">
        <v>37257</v>
      </c>
      <c r="C25" s="35">
        <f ca="1">_xll.RiskNormal(0.1908-0.4794*D25,0.1659)</f>
        <v>0.18909747613716127</v>
      </c>
      <c r="D25" s="36">
        <f t="shared" ref="D25:D43" ca="1" si="1">GEOMEAN(E5:E24)-1</f>
        <v>0.14307926665679727</v>
      </c>
      <c r="E25" s="37">
        <f t="shared" ref="E25:E43" ca="1" si="2">1+C25</f>
        <v>1.1890974761371613</v>
      </c>
      <c r="F25" s="37">
        <f ca="1">_xll.RiskNormal(0.1298,0.2017)</f>
        <v>0.13762710323240393</v>
      </c>
      <c r="G25" s="37">
        <f t="shared" ref="G25:G43" ca="1" si="3">1+F25</f>
        <v>1.1376271032324039</v>
      </c>
      <c r="H25" s="25"/>
    </row>
    <row r="26" spans="1:13" ht="15.75" x14ac:dyDescent="0.25">
      <c r="A26" s="25"/>
      <c r="B26" s="34">
        <v>37622</v>
      </c>
      <c r="C26" s="35">
        <f ca="1">_xll.RiskNormal(0.1908-0.4794*D26,0.1659)</f>
        <v>-0.24509115669318363</v>
      </c>
      <c r="D26" s="36">
        <f t="shared" ca="1" si="1"/>
        <v>0.14189059884253896</v>
      </c>
      <c r="E26" s="37">
        <f t="shared" ca="1" si="2"/>
        <v>0.7549088433068164</v>
      </c>
      <c r="F26" s="37">
        <f ca="1">_xll.RiskNormal(0.1298,0.2017)</f>
        <v>0.21460650191442654</v>
      </c>
      <c r="G26" s="37">
        <f t="shared" ca="1" si="3"/>
        <v>1.2146065019144265</v>
      </c>
      <c r="H26" s="25"/>
    </row>
    <row r="27" spans="1:13" ht="15.75" x14ac:dyDescent="0.25">
      <c r="A27" s="25"/>
      <c r="B27" s="34">
        <v>37987</v>
      </c>
      <c r="C27" s="35">
        <f ca="1">_xll.RiskNormal(0.1908-0.4794*D27,0.1659)</f>
        <v>-3.697563787650951E-2</v>
      </c>
      <c r="D27" s="36">
        <f t="shared" ca="1" si="1"/>
        <v>0.11457846083766499</v>
      </c>
      <c r="E27" s="37">
        <f t="shared" ca="1" si="2"/>
        <v>0.96302436212349052</v>
      </c>
      <c r="F27" s="37">
        <f ca="1">_xll.RiskNormal(0.1298,0.2017)</f>
        <v>0.47356803474037534</v>
      </c>
      <c r="G27" s="37">
        <f t="shared" ca="1" si="3"/>
        <v>1.4735680347403752</v>
      </c>
      <c r="H27" s="25"/>
    </row>
    <row r="28" spans="1:13" ht="15.75" x14ac:dyDescent="0.25">
      <c r="A28" s="25"/>
      <c r="B28" s="34">
        <v>38353</v>
      </c>
      <c r="C28" s="35">
        <f ca="1">_xll.RiskNormal(0.1908-0.4794*D28,0.1659)</f>
        <v>8.4939356550163839E-2</v>
      </c>
      <c r="D28" s="36">
        <f t="shared" ca="1" si="1"/>
        <v>0.10910324449245512</v>
      </c>
      <c r="E28" s="37">
        <f t="shared" ca="1" si="2"/>
        <v>1.0849393565501639</v>
      </c>
      <c r="F28" s="37">
        <f ca="1">_xll.RiskNormal(0.1298,0.2017)</f>
        <v>0.32680547313813957</v>
      </c>
      <c r="G28" s="37">
        <f t="shared" ca="1" si="3"/>
        <v>1.3268054731381396</v>
      </c>
      <c r="H28" s="25"/>
    </row>
    <row r="29" spans="1:13" ht="15.75" x14ac:dyDescent="0.25">
      <c r="A29" s="25"/>
      <c r="B29" s="34">
        <v>38718</v>
      </c>
      <c r="C29" s="35">
        <f ca="1">_xll.RiskNormal(0.1908-0.4794*D29,0.1659)</f>
        <v>0.30570685234371742</v>
      </c>
      <c r="D29" s="36">
        <f t="shared" ca="1" si="1"/>
        <v>9.821053223122056E-2</v>
      </c>
      <c r="E29" s="37">
        <f t="shared" ca="1" si="2"/>
        <v>1.3057068523437174</v>
      </c>
      <c r="F29" s="37">
        <f ca="1">_xll.RiskNormal(0.1298,0.2017)</f>
        <v>9.8001124047306307E-2</v>
      </c>
      <c r="G29" s="37">
        <f t="shared" ca="1" si="3"/>
        <v>1.0980011240473062</v>
      </c>
      <c r="H29" s="25"/>
    </row>
    <row r="30" spans="1:13" ht="15.75" x14ac:dyDescent="0.25">
      <c r="A30" s="25"/>
      <c r="B30" s="34">
        <v>39083</v>
      </c>
      <c r="C30" s="35">
        <f ca="1">_xll.RiskNormal(0.1908-0.4794*D30,0.1659)</f>
        <v>9.8065457580386484E-2</v>
      </c>
      <c r="D30" s="36">
        <f t="shared" ca="1" si="1"/>
        <v>0.10356385899172049</v>
      </c>
      <c r="E30" s="37">
        <f t="shared" ca="1" si="2"/>
        <v>1.0980654575803865</v>
      </c>
      <c r="F30" s="37">
        <f ca="1">_xll.RiskNormal(0.1298,0.2017)</f>
        <v>0.65143051507419314</v>
      </c>
      <c r="G30" s="37">
        <f t="shared" ca="1" si="3"/>
        <v>1.651430515074193</v>
      </c>
      <c r="H30" s="25"/>
    </row>
    <row r="31" spans="1:13" ht="15.75" x14ac:dyDescent="0.25">
      <c r="A31" s="25"/>
      <c r="B31" s="34">
        <v>39448</v>
      </c>
      <c r="C31" s="35">
        <f ca="1">_xll.RiskNormal(0.1908-0.4794*D31,0.1659)</f>
        <v>-6.1854444797941971E-2</v>
      </c>
      <c r="D31" s="36">
        <f t="shared" ca="1" si="1"/>
        <v>0.10591539095183511</v>
      </c>
      <c r="E31" s="37">
        <f t="shared" ca="1" si="2"/>
        <v>0.938145555202058</v>
      </c>
      <c r="F31" s="37">
        <f ca="1">_xll.RiskNormal(0.1298,0.2017)</f>
        <v>-0.13180120695849948</v>
      </c>
      <c r="G31" s="37">
        <f t="shared" ca="1" si="3"/>
        <v>0.86819879304150049</v>
      </c>
      <c r="H31" s="25"/>
    </row>
    <row r="32" spans="1:13" ht="15.75" x14ac:dyDescent="0.25">
      <c r="A32" s="25"/>
      <c r="B32" s="34">
        <v>39814</v>
      </c>
      <c r="C32" s="35">
        <f ca="1">_xll.RiskNormal(0.1908-0.4794*D32,0.1659)</f>
        <v>0.36368407152664528</v>
      </c>
      <c r="D32" s="36">
        <f t="shared" ca="1" si="1"/>
        <v>9.3859170761899646E-2</v>
      </c>
      <c r="E32" s="37">
        <f t="shared" ca="1" si="2"/>
        <v>1.3636840715266452</v>
      </c>
      <c r="F32" s="37">
        <f ca="1">_xll.RiskNormal(0.1298,0.2017)</f>
        <v>0.37438413754456984</v>
      </c>
      <c r="G32" s="37">
        <f t="shared" ca="1" si="3"/>
        <v>1.3743841375445698</v>
      </c>
      <c r="H32" s="25"/>
      <c r="J32" s="15" t="s">
        <v>4</v>
      </c>
      <c r="K32" s="15" t="s">
        <v>4</v>
      </c>
      <c r="L32" s="15" t="s">
        <v>4</v>
      </c>
    </row>
    <row r="33" spans="1:12" ht="15.75" x14ac:dyDescent="0.25">
      <c r="A33" s="25"/>
      <c r="B33" s="34">
        <v>40179</v>
      </c>
      <c r="C33" s="35">
        <f ca="1">_xll.RiskNormal(0.1908-0.4794*D33,0.1659)</f>
        <v>-4.3202208194387942E-2</v>
      </c>
      <c r="D33" s="36">
        <f t="shared" ca="1" si="1"/>
        <v>9.5853412426841977E-2</v>
      </c>
      <c r="E33" s="37">
        <f t="shared" ca="1" si="2"/>
        <v>0.95679779180561209</v>
      </c>
      <c r="F33" s="37">
        <f ca="1">_xll.RiskNormal(0.1298,0.2017)</f>
        <v>5.8676875739024137E-2</v>
      </c>
      <c r="G33" s="37">
        <f t="shared" ca="1" si="3"/>
        <v>1.0586768757390241</v>
      </c>
      <c r="H33" s="25"/>
    </row>
    <row r="34" spans="1:12" ht="15.75" x14ac:dyDescent="0.25">
      <c r="A34" s="25"/>
      <c r="B34" s="34">
        <v>40544</v>
      </c>
      <c r="C34" s="35">
        <f ca="1">_xll.RiskNormal(0.1908-0.4794*D34,0.1659)</f>
        <v>0.24873182561652579</v>
      </c>
      <c r="D34" s="36">
        <f t="shared" ca="1" si="1"/>
        <v>9.5198842086172686E-2</v>
      </c>
      <c r="E34" s="37">
        <f t="shared" ca="1" si="2"/>
        <v>1.2487318256165258</v>
      </c>
      <c r="F34" s="37">
        <f ca="1">_xll.RiskNormal(0.1298,0.2017)</f>
        <v>-0.14799799383539639</v>
      </c>
      <c r="G34" s="37">
        <f t="shared" ca="1" si="3"/>
        <v>0.85200200616460364</v>
      </c>
      <c r="H34" s="25"/>
    </row>
    <row r="35" spans="1:12" ht="15.75" x14ac:dyDescent="0.25">
      <c r="A35" s="25"/>
      <c r="B35" s="34">
        <v>40909</v>
      </c>
      <c r="C35" s="35">
        <f ca="1">_xll.RiskNormal(0.1908-0.4794*D35,0.1659)</f>
        <v>-7.5208798712426528E-2</v>
      </c>
      <c r="D35" s="36">
        <f t="shared" ca="1" si="1"/>
        <v>9.2767049601684803E-2</v>
      </c>
      <c r="E35" s="37">
        <f t="shared" ca="1" si="2"/>
        <v>0.92479120128757342</v>
      </c>
      <c r="F35" s="37">
        <f ca="1">_xll.RiskNormal(0.1298,0.2017)</f>
        <v>0.18925213671042812</v>
      </c>
      <c r="G35" s="37">
        <f t="shared" ca="1" si="3"/>
        <v>1.1892521367104281</v>
      </c>
      <c r="H35" s="25"/>
    </row>
    <row r="36" spans="1:12" ht="15.75" x14ac:dyDescent="0.25">
      <c r="A36" s="25"/>
      <c r="B36" s="34">
        <v>41275</v>
      </c>
      <c r="C36" s="35">
        <f ca="1">_xll.RiskNormal(0.1908-0.4794*D36,0.1659)</f>
        <v>8.3834504285730971E-2</v>
      </c>
      <c r="D36" s="36">
        <f t="shared" ca="1" si="1"/>
        <v>8.4488721986098358E-2</v>
      </c>
      <c r="E36" s="37">
        <f t="shared" ca="1" si="2"/>
        <v>1.0838345042857309</v>
      </c>
      <c r="F36" s="37">
        <f ca="1">_xll.RiskNormal(0.1298,0.2017)</f>
        <v>0.36412165841885319</v>
      </c>
      <c r="G36" s="37">
        <f t="shared" ca="1" si="3"/>
        <v>1.3641216584188531</v>
      </c>
      <c r="H36" s="25"/>
      <c r="K36" s="24"/>
      <c r="L36" s="24"/>
    </row>
    <row r="37" spans="1:12" ht="15.75" x14ac:dyDescent="0.25">
      <c r="A37" s="25"/>
      <c r="B37" s="34">
        <v>41640</v>
      </c>
      <c r="C37" s="35">
        <f ca="1">_xll.RiskNormal(0.1908-0.4794*D37,0.1659)</f>
        <v>0.57403204356844006</v>
      </c>
      <c r="D37" s="36">
        <f t="shared" ca="1" si="1"/>
        <v>8.3691154531706502E-2</v>
      </c>
      <c r="E37" s="37">
        <f t="shared" ca="1" si="2"/>
        <v>1.5740320435684401</v>
      </c>
      <c r="F37" s="37">
        <f ca="1">_xll.RiskNormal(0.1298,0.2017)</f>
        <v>0.41542277120760296</v>
      </c>
      <c r="G37" s="37">
        <f t="shared" ca="1" si="3"/>
        <v>1.4154227712076031</v>
      </c>
      <c r="H37" s="25"/>
    </row>
    <row r="38" spans="1:12" ht="15.75" x14ac:dyDescent="0.25">
      <c r="A38" s="25"/>
      <c r="B38" s="34">
        <v>42005</v>
      </c>
      <c r="C38" s="35">
        <f ca="1">_xll.RiskNormal(0.1908-0.4794*D38,0.1659)</f>
        <v>-2.7909413048027215E-2</v>
      </c>
      <c r="D38" s="36">
        <f t="shared" ca="1" si="1"/>
        <v>0.10783119780388017</v>
      </c>
      <c r="E38" s="37">
        <f t="shared" ca="1" si="2"/>
        <v>0.97209058695197281</v>
      </c>
      <c r="F38" s="37">
        <f ca="1">_xll.RiskNormal(0.1298,0.2017)</f>
        <v>-4.5810265891568475E-2</v>
      </c>
      <c r="G38" s="37">
        <f t="shared" ca="1" si="3"/>
        <v>0.95418973410843155</v>
      </c>
      <c r="H38" s="25"/>
    </row>
    <row r="39" spans="1:12" ht="15.75" x14ac:dyDescent="0.25">
      <c r="A39" s="25"/>
      <c r="B39" s="34">
        <v>42370</v>
      </c>
      <c r="C39" s="35">
        <f ca="1">_xll.RiskNormal(0.1908-0.4794*D39,0.1659)</f>
        <v>0.14705546649138082</v>
      </c>
      <c r="D39" s="36">
        <f t="shared" ca="1" si="1"/>
        <v>8.8816894128018742E-2</v>
      </c>
      <c r="E39" s="37">
        <f t="shared" ca="1" si="2"/>
        <v>1.1470554664913808</v>
      </c>
      <c r="F39" s="37">
        <f ca="1">_xll.RiskNormal(0.1298,0.2017)</f>
        <v>-4.0787336978448663E-2</v>
      </c>
      <c r="G39" s="37">
        <f t="shared" ca="1" si="3"/>
        <v>0.95921266302155139</v>
      </c>
      <c r="H39" s="25"/>
      <c r="K39" s="24"/>
    </row>
    <row r="40" spans="1:12" ht="15.75" x14ac:dyDescent="0.25">
      <c r="A40" s="25"/>
      <c r="B40" s="34">
        <v>42736</v>
      </c>
      <c r="C40" s="35">
        <f ca="1">_xll.RiskNormal(0.1908-0.4794*D40,0.1659)</f>
        <v>2.7909005558850883E-2</v>
      </c>
      <c r="D40" s="36">
        <f t="shared" ca="1" si="1"/>
        <v>8.4991814365241503E-2</v>
      </c>
      <c r="E40" s="37">
        <f t="shared" ca="1" si="2"/>
        <v>1.0279090055588509</v>
      </c>
      <c r="F40" s="37">
        <f ca="1">_xll.RiskNormal(0.1298,0.2017)</f>
        <v>0.20322133398365486</v>
      </c>
      <c r="G40" s="37">
        <f t="shared" ca="1" si="3"/>
        <v>1.2032213339836548</v>
      </c>
      <c r="H40" s="25"/>
      <c r="K40" s="24"/>
      <c r="L40" s="24"/>
    </row>
    <row r="41" spans="1:12" ht="15.75" x14ac:dyDescent="0.25">
      <c r="A41" s="25"/>
      <c r="B41" s="34">
        <v>43101</v>
      </c>
      <c r="C41" s="35">
        <f ca="1">_xll.RiskNormal(0.1908-0.4794*D41,0.1659)</f>
        <v>-0.21419753204534608</v>
      </c>
      <c r="D41" s="36">
        <f t="shared" ca="1" si="1"/>
        <v>7.0955160051832999E-2</v>
      </c>
      <c r="E41" s="37">
        <f t="shared" ca="1" si="2"/>
        <v>0.78580246795465392</v>
      </c>
      <c r="F41" s="37">
        <f ca="1">_xll.RiskNormal(0.1298,0.2017)</f>
        <v>-0.11908255564713685</v>
      </c>
      <c r="G41" s="37">
        <f t="shared" ca="1" si="3"/>
        <v>0.88091744435286312</v>
      </c>
      <c r="H41" s="25"/>
      <c r="K41" s="24"/>
      <c r="L41" s="24"/>
    </row>
    <row r="42" spans="1:12" ht="15.75" x14ac:dyDescent="0.25">
      <c r="A42" s="25"/>
      <c r="B42" s="34">
        <v>43466</v>
      </c>
      <c r="C42" s="35">
        <f ca="1">_xll.RiskNormal(0.1908-0.4794*D42,0.1659)</f>
        <v>0.36772016277525899</v>
      </c>
      <c r="D42" s="36">
        <f t="shared" ca="1" si="1"/>
        <v>4.4908557735853005E-2</v>
      </c>
      <c r="E42" s="37">
        <f t="shared" ca="1" si="2"/>
        <v>1.3677201627752589</v>
      </c>
      <c r="F42" s="37">
        <f ca="1">_xll.RiskNormal(0.1298,0.2017)</f>
        <v>0.32167425233874491</v>
      </c>
      <c r="G42" s="37">
        <f t="shared" ca="1" si="3"/>
        <v>1.3216742523387448</v>
      </c>
      <c r="H42" s="25"/>
    </row>
    <row r="43" spans="1:12" ht="15.75" x14ac:dyDescent="0.25">
      <c r="A43" s="25"/>
      <c r="B43" s="34">
        <v>43831</v>
      </c>
      <c r="C43" s="35">
        <f ca="1">_xll.RiskNormal(0.1908-0.4794*D43,0.1659)</f>
        <v>0.13812243021464449</v>
      </c>
      <c r="D43" s="36">
        <f t="shared" ca="1" si="1"/>
        <v>5.1316539430108943E-2</v>
      </c>
      <c r="E43" s="37">
        <f t="shared" ca="1" si="2"/>
        <v>1.1381224302146444</v>
      </c>
      <c r="F43" s="37">
        <f ca="1">_xll.RiskNormal(0.1298,0.2017)</f>
        <v>0.22180354180715928</v>
      </c>
      <c r="G43" s="37">
        <f t="shared" ca="1" si="3"/>
        <v>1.2218035418071593</v>
      </c>
      <c r="H43" s="25"/>
    </row>
    <row r="44" spans="1:12" x14ac:dyDescent="0.2">
      <c r="K44" s="24"/>
    </row>
    <row r="45" spans="1:12" ht="63" x14ac:dyDescent="0.25">
      <c r="A45" s="25"/>
      <c r="B45" s="33" t="s">
        <v>48</v>
      </c>
      <c r="C45" s="37">
        <f ca="1">_xll.RiskOutput() + GEOMEAN(E24:E43)-1</f>
        <v>6.3199470886489806E-2</v>
      </c>
      <c r="D45" s="25"/>
      <c r="E45" s="25"/>
      <c r="F45" s="25"/>
      <c r="G45" s="37">
        <f ca="1">_xll.RiskOutput() + GEOMEAN(G24:G43)-1</f>
        <v>0.17663117732318367</v>
      </c>
      <c r="L45" s="24"/>
    </row>
    <row r="46" spans="1:12" x14ac:dyDescent="0.2">
      <c r="L46" s="24"/>
    </row>
    <row r="47" spans="1:12" x14ac:dyDescent="0.2">
      <c r="K47" s="24"/>
      <c r="L47" s="24"/>
    </row>
    <row r="48" spans="1:12" x14ac:dyDescent="0.2">
      <c r="K48" s="24"/>
      <c r="L48" s="24"/>
    </row>
    <row r="49" spans="11:12" x14ac:dyDescent="0.2">
      <c r="K49" s="24"/>
    </row>
    <row r="50" spans="11:12" x14ac:dyDescent="0.2">
      <c r="K50" s="24"/>
      <c r="L50" s="24"/>
    </row>
    <row r="51" spans="11:12" x14ac:dyDescent="0.2">
      <c r="L51" s="24"/>
    </row>
  </sheetData>
  <phoneticPr fontId="0" type="noConversion"/>
  <conditionalFormatting sqref="F24:F43 C45 G45 C24:C43">
    <cfRule type="expression" dxfId="2" priority="1" stopIfTrue="1">
      <formula>RiskColorCellsSimOutput</formula>
    </cfRule>
    <cfRule type="expression" dxfId="1" priority="2" stopIfTrue="1">
      <formula>RiskColorCellsSimInput</formula>
    </cfRule>
    <cfRule type="expression" dxfId="0" priority="3" stopIfTrue="1">
      <formula>RiskColorCellsSimStatistics</formula>
    </cfRule>
  </conditionalFormatting>
  <printOptions headings="1" gridLines="1"/>
  <pageMargins left="0.75" right="0.75" top="1" bottom="1" header="0.5" footer="0.5"/>
  <pageSetup scale="6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S&amp;P500 Index</vt:lpstr>
      <vt:lpstr>Annual20</vt:lpstr>
      <vt:lpstr>Model 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Tech. Services</dc:creator>
  <cp:lastModifiedBy>Mohammad Rahaman</cp:lastModifiedBy>
  <dcterms:created xsi:type="dcterms:W3CDTF">2001-03-30T14:13:43Z</dcterms:created>
  <dcterms:modified xsi:type="dcterms:W3CDTF">2025-02-24T00:16:22Z</dcterms:modified>
</cp:coreProperties>
</file>