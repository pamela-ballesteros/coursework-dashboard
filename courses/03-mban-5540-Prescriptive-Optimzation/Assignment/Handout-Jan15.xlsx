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ba44ec62874856/Desktop/MBAN 2026/Prescriptive/"/>
    </mc:Choice>
  </mc:AlternateContent>
  <xr:revisionPtr revIDLastSave="67" documentId="8_{96354830-723F-47DF-8515-3C520422C94B}" xr6:coauthVersionLast="47" xr6:coauthVersionMax="47" xr10:uidLastSave="{2579A8C2-0563-4B18-8400-63D54738A664}"/>
  <bookViews>
    <workbookView xWindow="1365" yWindow="1710" windowWidth="26730" windowHeight="12645" activeTab="2" xr2:uid="{76E1B1EF-236B-49E6-B282-0BD81B02B47C}"/>
  </bookViews>
  <sheets>
    <sheet name="Sheet1" sheetId="1" r:id="rId1"/>
    <sheet name="Sol1" sheetId="2" r:id="rId2"/>
    <sheet name="Sol2" sheetId="3" r:id="rId3"/>
  </sheets>
  <definedNames>
    <definedName name="solver_adj" localSheetId="0" hidden="1">Sheet1!$C$6</definedName>
    <definedName name="solver_adj" localSheetId="1" hidden="1">'Sol1'!$B$4:$G$4</definedName>
    <definedName name="solver_cvg" localSheetId="1" hidden="1">0.0001</definedName>
    <definedName name="solver_drv" localSheetId="1" hidden="1">1</definedName>
    <definedName name="solver_eng" localSheetId="0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'Sol1'!$H$8</definedName>
    <definedName name="solver_lhs2" localSheetId="1" hidden="1">'Sol1'!$H$9</definedName>
    <definedName name="solver_lhs3" localSheetId="1" hidden="1">'Sol1'!$H$9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0" hidden="1">2</definedName>
    <definedName name="solver_neg" localSheetId="1" hidden="1">1</definedName>
    <definedName name="solver_nod" localSheetId="1" hidden="1">2147483647</definedName>
    <definedName name="solver_num" localSheetId="0" hidden="1">0</definedName>
    <definedName name="solver_num" localSheetId="1" hidden="1">2</definedName>
    <definedName name="solver_nwt" localSheetId="1" hidden="1">1</definedName>
    <definedName name="solver_opt" localSheetId="1" hidden="1">'Sol1'!$I$5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hs1" localSheetId="1" hidden="1">'Sol1'!$J$8</definedName>
    <definedName name="solver_rhs2" localSheetId="1" hidden="1">'Sol1'!$J$9</definedName>
    <definedName name="solver_rhs3" localSheetId="1" hidden="1">'Sol1'!$J$9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4" i="3"/>
  <c r="F5" i="3"/>
  <c r="F6" i="3"/>
  <c r="F7" i="3"/>
  <c r="F8" i="3"/>
  <c r="F9" i="3"/>
  <c r="F4" i="3"/>
  <c r="B10" i="3"/>
  <c r="C5" i="3" s="1"/>
  <c r="G9" i="2"/>
  <c r="F9" i="2"/>
  <c r="E9" i="2"/>
  <c r="H9" i="2" s="1"/>
  <c r="D8" i="2"/>
  <c r="C8" i="2"/>
  <c r="B8" i="2"/>
  <c r="H8" i="2" s="1"/>
  <c r="D6" i="1"/>
  <c r="E3" i="1"/>
</calcChain>
</file>

<file path=xl/sharedStrings.xml><?xml version="1.0" encoding="utf-8"?>
<sst xmlns="http://schemas.openxmlformats.org/spreadsheetml/2006/main" count="43" uniqueCount="34">
  <si>
    <t>T</t>
  </si>
  <si>
    <t>C</t>
  </si>
  <si>
    <t>Objective</t>
  </si>
  <si>
    <t>Constraints</t>
  </si>
  <si>
    <t>Constraints:</t>
  </si>
  <si>
    <t>Carpentry</t>
  </si>
  <si>
    <t>LHS</t>
  </si>
  <si>
    <t>RHS</t>
  </si>
  <si>
    <t>&lt;=</t>
  </si>
  <si>
    <t>Paint</t>
  </si>
  <si>
    <t>Max</t>
  </si>
  <si>
    <t>Min</t>
  </si>
  <si>
    <t>&gt;=</t>
  </si>
  <si>
    <t>Profit</t>
  </si>
  <si>
    <t>AH</t>
  </si>
  <si>
    <t>BH</t>
  </si>
  <si>
    <t>CH</t>
  </si>
  <si>
    <t>AC</t>
  </si>
  <si>
    <t>BC</t>
  </si>
  <si>
    <t>CC</t>
  </si>
  <si>
    <t>halifax</t>
  </si>
  <si>
    <t>calgary</t>
  </si>
  <si>
    <t>Company</t>
  </si>
  <si>
    <t>Total Investment</t>
  </si>
  <si>
    <t>Investment Amount</t>
  </si>
  <si>
    <t>Total Available</t>
  </si>
  <si>
    <t>Return</t>
  </si>
  <si>
    <t>Years to</t>
  </si>
  <si>
    <t>Maturity</t>
  </si>
  <si>
    <t>PROFIT</t>
  </si>
  <si>
    <t>Ratings</t>
  </si>
  <si>
    <t>Total</t>
  </si>
  <si>
    <t>50% of Money</t>
  </si>
  <si>
    <t>35% of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</si>
</sst>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46EE-BB6B-4B43-95C9-643AE7C392C6}">
  <dimension ref="A1:F16"/>
  <sheetViews>
    <sheetView workbookViewId="0">
      <selection activeCell="I13" sqref="I13"/>
    </sheetView>
  </sheetViews>
  <sheetFormatPr defaultRowHeight="15" x14ac:dyDescent="0.25"/>
  <cols>
    <col min="1" max="1" width="11.140625" bestFit="1" customWidth="1"/>
  </cols>
  <sheetData>
    <row r="1" spans="1:6" x14ac:dyDescent="0.25">
      <c r="A1" s="1"/>
      <c r="B1" s="1" t="s">
        <v>0</v>
      </c>
      <c r="C1" s="1" t="s">
        <v>1</v>
      </c>
      <c r="D1" s="1"/>
      <c r="E1" s="1"/>
      <c r="F1" s="1"/>
    </row>
    <row r="2" spans="1:6" x14ac:dyDescent="0.25">
      <c r="A2" s="1"/>
      <c r="B2" s="1"/>
      <c r="C2" s="1"/>
      <c r="D2" s="1"/>
      <c r="E2" s="1" t="s">
        <v>13</v>
      </c>
      <c r="F2" s="1"/>
    </row>
    <row r="3" spans="1:6" x14ac:dyDescent="0.25">
      <c r="A3" s="1" t="s">
        <v>2</v>
      </c>
      <c r="B3" s="1">
        <v>7</v>
      </c>
      <c r="C3" s="1">
        <v>5</v>
      </c>
      <c r="D3" s="1"/>
      <c r="E3" s="1">
        <f>SUMPRODUCT(B2:C2,B3:C3)</f>
        <v>0</v>
      </c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 t="s">
        <v>4</v>
      </c>
      <c r="B5" s="1"/>
      <c r="C5" s="1"/>
      <c r="D5" s="1" t="s">
        <v>6</v>
      </c>
      <c r="E5" s="1"/>
      <c r="F5" s="1" t="s">
        <v>7</v>
      </c>
    </row>
    <row r="6" spans="1:6" x14ac:dyDescent="0.25">
      <c r="A6" s="1" t="s">
        <v>5</v>
      </c>
      <c r="B6" s="1">
        <v>3</v>
      </c>
      <c r="C6" s="1">
        <v>4</v>
      </c>
      <c r="D6" s="1">
        <f>SUMPRODUCT(B2:$C$2,B6:C6)</f>
        <v>0</v>
      </c>
      <c r="E6" s="1" t="s">
        <v>8</v>
      </c>
      <c r="F6" s="1">
        <v>2400</v>
      </c>
    </row>
    <row r="7" spans="1:6" x14ac:dyDescent="0.25">
      <c r="A7" s="1" t="s">
        <v>9</v>
      </c>
      <c r="B7" s="1">
        <v>2</v>
      </c>
      <c r="C7" s="1">
        <v>1</v>
      </c>
      <c r="D7" s="1"/>
      <c r="E7" s="1" t="s">
        <v>8</v>
      </c>
      <c r="F7" s="1">
        <v>1000</v>
      </c>
    </row>
    <row r="8" spans="1:6" x14ac:dyDescent="0.25">
      <c r="A8" s="1" t="s">
        <v>10</v>
      </c>
      <c r="B8" s="1"/>
      <c r="C8" s="1">
        <v>1</v>
      </c>
      <c r="D8" s="1"/>
      <c r="E8" s="1" t="s">
        <v>8</v>
      </c>
      <c r="F8" s="1">
        <v>450</v>
      </c>
    </row>
    <row r="9" spans="1:6" x14ac:dyDescent="0.25">
      <c r="A9" s="1" t="s">
        <v>11</v>
      </c>
      <c r="B9" s="1">
        <v>1</v>
      </c>
      <c r="C9" s="1"/>
      <c r="D9" s="1"/>
      <c r="E9" s="1" t="s">
        <v>12</v>
      </c>
      <c r="F9" s="1">
        <v>100</v>
      </c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47DD-C7A1-4132-84BD-4255D812530C}">
  <dimension ref="A3:J9"/>
  <sheetViews>
    <sheetView workbookViewId="0">
      <selection activeCell="I18" sqref="I18"/>
    </sheetView>
  </sheetViews>
  <sheetFormatPr defaultRowHeight="15" x14ac:dyDescent="0.25"/>
  <sheetData>
    <row r="3" spans="1:10" x14ac:dyDescent="0.25"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10" x14ac:dyDescent="0.25">
      <c r="I4" t="s">
        <v>13</v>
      </c>
    </row>
    <row r="5" spans="1:10" x14ac:dyDescent="0.25">
      <c r="B5">
        <v>1.7</v>
      </c>
      <c r="C5">
        <v>1.2</v>
      </c>
      <c r="D5">
        <v>0.78</v>
      </c>
      <c r="E5">
        <v>1.8</v>
      </c>
      <c r="F5">
        <v>1.3</v>
      </c>
      <c r="G5">
        <v>0.75</v>
      </c>
    </row>
    <row r="7" spans="1:10" x14ac:dyDescent="0.25">
      <c r="A7" t="s">
        <v>3</v>
      </c>
      <c r="H7" t="s">
        <v>6</v>
      </c>
      <c r="J7" t="s">
        <v>7</v>
      </c>
    </row>
    <row r="8" spans="1:10" x14ac:dyDescent="0.25">
      <c r="A8" t="s">
        <v>20</v>
      </c>
      <c r="B8">
        <f>1/3000</f>
        <v>3.3333333333333332E-4</v>
      </c>
      <c r="C8">
        <f>1/1000</f>
        <v>1E-3</v>
      </c>
      <c r="D8">
        <f>1/8000</f>
        <v>1.25E-4</v>
      </c>
      <c r="H8">
        <f>SUMPRODUCT(B8:D8)</f>
        <v>1.4583333333333332E-3</v>
      </c>
      <c r="I8" t="s">
        <v>8</v>
      </c>
      <c r="J8">
        <v>170</v>
      </c>
    </row>
    <row r="9" spans="1:10" x14ac:dyDescent="0.25">
      <c r="A9" t="s">
        <v>21</v>
      </c>
      <c r="E9">
        <f>1/2500</f>
        <v>4.0000000000000002E-4</v>
      </c>
      <c r="F9">
        <f>1/800</f>
        <v>1.25E-3</v>
      </c>
      <c r="G9">
        <f>1/6000</f>
        <v>1.6666666666666666E-4</v>
      </c>
      <c r="H9">
        <f>SUMPRODUCT(E9:G9)</f>
        <v>1.8166666666666667E-3</v>
      </c>
      <c r="I9" t="s">
        <v>8</v>
      </c>
      <c r="J9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335E-700B-43E6-8907-8BD2FA3F8083}">
  <dimension ref="A1:I11"/>
  <sheetViews>
    <sheetView tabSelected="1" workbookViewId="0">
      <selection activeCell="C5" sqref="C5"/>
    </sheetView>
  </sheetViews>
  <sheetFormatPr defaultRowHeight="15" x14ac:dyDescent="0.25"/>
  <cols>
    <col min="1" max="1" width="15.5703125" bestFit="1" customWidth="1"/>
    <col min="2" max="2" width="18.140625" bestFit="1" customWidth="1"/>
    <col min="5" max="5" width="12.85546875" bestFit="1" customWidth="1"/>
    <col min="8" max="8" width="12.85546875" bestFit="1" customWidth="1"/>
  </cols>
  <sheetData>
    <row r="1" spans="1:9" x14ac:dyDescent="0.25">
      <c r="A1" s="1"/>
      <c r="B1" s="1" t="s">
        <v>24</v>
      </c>
      <c r="C1" s="1" t="s">
        <v>10</v>
      </c>
      <c r="D1" s="1" t="s">
        <v>26</v>
      </c>
      <c r="E1" s="3" t="s">
        <v>27</v>
      </c>
      <c r="F1" s="1"/>
      <c r="G1" s="1"/>
      <c r="H1" s="3" t="s">
        <v>30</v>
      </c>
      <c r="I1" s="1"/>
    </row>
    <row r="2" spans="1:9" x14ac:dyDescent="0.25">
      <c r="A2" s="1"/>
      <c r="B2" s="1"/>
      <c r="C2" s="2">
        <v>0.25</v>
      </c>
      <c r="D2" s="1"/>
      <c r="E2" s="1" t="s">
        <v>28</v>
      </c>
      <c r="F2" s="1"/>
      <c r="G2" s="1"/>
      <c r="H2" s="1"/>
      <c r="I2" s="1"/>
    </row>
    <row r="3" spans="1:9" x14ac:dyDescent="0.25">
      <c r="A3" s="1" t="s">
        <v>22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>
        <v>1</v>
      </c>
      <c r="B4" s="1"/>
      <c r="C4" s="1">
        <f>$C$2*B10</f>
        <v>0</v>
      </c>
      <c r="D4" s="1">
        <v>8.6499999999999994E-2</v>
      </c>
      <c r="E4" s="1">
        <v>11</v>
      </c>
      <c r="F4" s="1">
        <f>IF(E4&gt;=10,1,0)</f>
        <v>1</v>
      </c>
      <c r="G4" s="1"/>
      <c r="H4" s="1"/>
      <c r="I4" s="1"/>
    </row>
    <row r="5" spans="1:9" x14ac:dyDescent="0.25">
      <c r="A5" s="1">
        <v>2</v>
      </c>
      <c r="B5" s="1"/>
      <c r="C5" s="1">
        <f>$C$2*B10</f>
        <v>0</v>
      </c>
      <c r="D5" s="1">
        <v>9.5000000000000001E-2</v>
      </c>
      <c r="E5" s="1">
        <v>10</v>
      </c>
      <c r="F5" s="1">
        <f t="shared" ref="F5:F9" si="0">IF(E5&gt;=10,1,0)</f>
        <v>1</v>
      </c>
      <c r="G5" s="1"/>
      <c r="H5" s="1"/>
      <c r="I5" s="1"/>
    </row>
    <row r="6" spans="1:9" x14ac:dyDescent="0.25">
      <c r="A6" s="1">
        <v>3</v>
      </c>
      <c r="B6" s="1"/>
      <c r="C6" s="1">
        <f t="shared" ref="C5:C9" si="1">$C$2*B6</f>
        <v>0</v>
      </c>
      <c r="D6" s="1">
        <v>0.1</v>
      </c>
      <c r="E6" s="1">
        <v>6</v>
      </c>
      <c r="F6" s="1">
        <f t="shared" si="0"/>
        <v>0</v>
      </c>
      <c r="G6" s="1"/>
      <c r="H6" s="1"/>
      <c r="I6" s="1"/>
    </row>
    <row r="7" spans="1:9" x14ac:dyDescent="0.25">
      <c r="A7" s="1">
        <v>4</v>
      </c>
      <c r="B7" s="1"/>
      <c r="C7" s="1">
        <f t="shared" si="1"/>
        <v>0</v>
      </c>
      <c r="D7" s="1">
        <v>8.7499999999999994E-2</v>
      </c>
      <c r="E7" s="1">
        <v>10</v>
      </c>
      <c r="F7" s="1">
        <f t="shared" si="0"/>
        <v>1</v>
      </c>
      <c r="G7" s="1"/>
      <c r="H7" s="1"/>
      <c r="I7" s="1"/>
    </row>
    <row r="8" spans="1:9" x14ac:dyDescent="0.25">
      <c r="A8" s="1">
        <v>5</v>
      </c>
      <c r="B8" s="1"/>
      <c r="C8" s="1">
        <f t="shared" si="1"/>
        <v>0</v>
      </c>
      <c r="D8" s="1">
        <v>9.2499999999999999E-2</v>
      </c>
      <c r="E8" s="1">
        <v>7</v>
      </c>
      <c r="F8" s="1">
        <f t="shared" si="0"/>
        <v>0</v>
      </c>
      <c r="G8" s="1"/>
      <c r="H8" s="1"/>
      <c r="I8" s="1"/>
    </row>
    <row r="9" spans="1:9" x14ac:dyDescent="0.25">
      <c r="A9" s="1">
        <v>6</v>
      </c>
      <c r="B9" s="1"/>
      <c r="C9" s="1">
        <f t="shared" si="1"/>
        <v>0</v>
      </c>
      <c r="D9" s="1">
        <v>0.09</v>
      </c>
      <c r="E9" s="1">
        <v>13</v>
      </c>
      <c r="F9" s="1">
        <f t="shared" si="0"/>
        <v>1</v>
      </c>
      <c r="G9" s="1"/>
      <c r="H9" s="1"/>
      <c r="I9" s="1"/>
    </row>
    <row r="10" spans="1:9" x14ac:dyDescent="0.25">
      <c r="A10" s="1" t="s">
        <v>23</v>
      </c>
      <c r="B10" s="1">
        <f>SUMPRODUCT(B4:B9)</f>
        <v>0</v>
      </c>
      <c r="C10" s="5" t="s">
        <v>29</v>
      </c>
      <c r="D10" s="1"/>
      <c r="E10" s="1" t="s">
        <v>31</v>
      </c>
      <c r="F10" s="1"/>
      <c r="G10" s="1"/>
      <c r="H10" s="1" t="s">
        <v>31</v>
      </c>
      <c r="I10" s="1"/>
    </row>
    <row r="11" spans="1:9" x14ac:dyDescent="0.25">
      <c r="A11" s="1" t="s">
        <v>25</v>
      </c>
      <c r="B11" s="4">
        <v>750000</v>
      </c>
      <c r="C11" s="5"/>
      <c r="D11" s="1"/>
      <c r="E11" s="1" t="s">
        <v>32</v>
      </c>
      <c r="F11" s="1"/>
      <c r="G11" s="1"/>
      <c r="H11" s="1" t="s">
        <v>33</v>
      </c>
      <c r="I11" s="1"/>
    </row>
  </sheetData>
  <mergeCells count="1">
    <mergeCell ref="C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Sol1</vt:lpstr>
      <vt:lpstr>Sol2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Pamela Ballesteros</dc:creator>
  <cp:lastModifiedBy>Pamela Ballesteros</cp:lastModifiedBy>
  <dcterms:created xsi:type="dcterms:W3CDTF">2026-01-15T14:55:04Z</dcterms:created>
  <dcterms:modified xsi:type="dcterms:W3CDTF">2026-01-15T20:27:14Z</dcterms:modified>
</cp:coreProperties>
</file>