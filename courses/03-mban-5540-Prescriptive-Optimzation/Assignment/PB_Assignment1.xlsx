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ba44ec62874856/Desktop/MBAN 2026/Prescriptive/"/>
    </mc:Choice>
  </mc:AlternateContent>
  <xr:revisionPtr revIDLastSave="1243" documentId="8_{D9E3C1A3-9817-48C8-BFBC-AC28F2846541}" xr6:coauthVersionLast="47" xr6:coauthVersionMax="47" xr10:uidLastSave="{D4CD68CC-8DD5-42D2-84E6-28827A1330AD}"/>
  <bookViews>
    <workbookView xWindow="1920" yWindow="1440" windowWidth="21600" windowHeight="12645" activeTab="2" xr2:uid="{3B8670CA-D5A8-469E-B1C8-160B7F15CE8C}"/>
  </bookViews>
  <sheets>
    <sheet name="Q1" sheetId="1" r:id="rId1"/>
    <sheet name="Sheet1" sheetId="4" r:id="rId2"/>
    <sheet name="Q2" sheetId="2" r:id="rId3"/>
    <sheet name="Q3" sheetId="3" r:id="rId4"/>
  </sheets>
  <definedNames>
    <definedName name="solver_adj" localSheetId="0" hidden="1">'Q1'!$B$3:$C$3</definedName>
    <definedName name="solver_adj" localSheetId="2" hidden="1">'Q2'!$B$4:$D$4</definedName>
    <definedName name="solver_adj" localSheetId="3" hidden="1">'Q3'!$B$4:$H$4</definedName>
    <definedName name="solver_cvg" localSheetId="0" hidden="1">0.0001</definedName>
    <definedName name="solver_cvg" localSheetId="2" hidden="1">0.0001</definedName>
    <definedName name="solver_cvg" localSheetId="3" hidden="1">0.0001</definedName>
    <definedName name="solver_drv" localSheetId="0" hidden="1">2</definedName>
    <definedName name="solver_drv" localSheetId="2" hidden="1">1</definedName>
    <definedName name="solver_drv" localSheetId="3" hidden="1">1</definedName>
    <definedName name="solver_eng" localSheetId="0" hidden="1">2</definedName>
    <definedName name="solver_eng" localSheetId="2" hidden="1">2</definedName>
    <definedName name="solver_eng" localSheetId="3" hidden="1">2</definedName>
    <definedName name="solver_est" localSheetId="0" hidden="1">1</definedName>
    <definedName name="solver_est" localSheetId="2" hidden="1">1</definedName>
    <definedName name="solver_est" localSheetId="3" hidden="1">1</definedName>
    <definedName name="solver_itr" localSheetId="0" hidden="1">2147483647</definedName>
    <definedName name="solver_itr" localSheetId="2" hidden="1">2147483647</definedName>
    <definedName name="solver_itr" localSheetId="3" hidden="1">2147483647</definedName>
    <definedName name="solver_lhs1" localSheetId="0" hidden="1">'Q1'!$B$3</definedName>
    <definedName name="solver_lhs1" localSheetId="2" hidden="1">'Q2'!$B$10</definedName>
    <definedName name="solver_lhs1" localSheetId="3" hidden="1">'Q3'!$B$10</definedName>
    <definedName name="solver_lhs2" localSheetId="0" hidden="1">'Q1'!$C$10</definedName>
    <definedName name="solver_lhs2" localSheetId="2" hidden="1">'Q2'!$B$11</definedName>
    <definedName name="solver_lhs2" localSheetId="3" hidden="1">'Q3'!$B$11</definedName>
    <definedName name="solver_lhs3" localSheetId="0" hidden="1">'Q1'!$C$8</definedName>
    <definedName name="solver_lhs3" localSheetId="2" hidden="1">'Q2'!$B$4</definedName>
    <definedName name="solver_lhs3" localSheetId="3" hidden="1">'Q3'!$B$12</definedName>
    <definedName name="solver_lhs4" localSheetId="0" hidden="1">'Q1'!$C$9</definedName>
    <definedName name="solver_lhs4" localSheetId="2" hidden="1">'Q2'!$B$4:$D$4</definedName>
    <definedName name="solver_lhs4" localSheetId="3" hidden="1">'Q3'!$B$13</definedName>
    <definedName name="solver_lhs5" localSheetId="2" hidden="1">'Q2'!$C$4</definedName>
    <definedName name="solver_lhs5" localSheetId="3" hidden="1">'Q3'!$B$14</definedName>
    <definedName name="solver_lhs6" localSheetId="2" hidden="1">'Q2'!$D$4</definedName>
    <definedName name="solver_lhs6" localSheetId="3" hidden="1">'Q3'!$B$15</definedName>
    <definedName name="solver_lhs7" localSheetId="2" hidden="1">'Q2'!$F$6</definedName>
    <definedName name="solver_lhs7" localSheetId="3" hidden="1">'Q3'!$B$4:$H$4</definedName>
    <definedName name="solver_lhs8" localSheetId="3" hidden="1">'Q3'!$B$9</definedName>
    <definedName name="solver_mip" localSheetId="0" hidden="1">2147483647</definedName>
    <definedName name="solver_mip" localSheetId="2" hidden="1">2147483647</definedName>
    <definedName name="solver_mip" localSheetId="3" hidden="1">2147483647</definedName>
    <definedName name="solver_mni" localSheetId="0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2" hidden="1">0.075</definedName>
    <definedName name="solver_mrt" localSheetId="3" hidden="1">0.075</definedName>
    <definedName name="solver_msl" localSheetId="0" hidden="1">2</definedName>
    <definedName name="solver_msl" localSheetId="2" hidden="1">2</definedName>
    <definedName name="solver_msl" localSheetId="3" hidden="1">2</definedName>
    <definedName name="solver_neg" localSheetId="0" hidden="1">1</definedName>
    <definedName name="solver_neg" localSheetId="2" hidden="1">1</definedName>
    <definedName name="solver_neg" localSheetId="3" hidden="1">1</definedName>
    <definedName name="solver_nod" localSheetId="0" hidden="1">2147483647</definedName>
    <definedName name="solver_nod" localSheetId="2" hidden="1">2147483647</definedName>
    <definedName name="solver_nod" localSheetId="3" hidden="1">2147483647</definedName>
    <definedName name="solver_num" localSheetId="0" hidden="1">4</definedName>
    <definedName name="solver_num" localSheetId="2" hidden="1">7</definedName>
    <definedName name="solver_num" localSheetId="3" hidden="1">8</definedName>
    <definedName name="solver_nwt" localSheetId="0" hidden="1">1</definedName>
    <definedName name="solver_nwt" localSheetId="2" hidden="1">1</definedName>
    <definedName name="solver_nwt" localSheetId="3" hidden="1">1</definedName>
    <definedName name="solver_opt" localSheetId="0" hidden="1">'Q1'!$D$4</definedName>
    <definedName name="solver_opt" localSheetId="2" hidden="1">'Q2'!$F$3</definedName>
    <definedName name="solver_opt" localSheetId="3" hidden="1">'Q3'!$B$6</definedName>
    <definedName name="solver_pre" localSheetId="0" hidden="1">0.000001</definedName>
    <definedName name="solver_pre" localSheetId="2" hidden="1">0.000001</definedName>
    <definedName name="solver_pre" localSheetId="3" hidden="1">0.000001</definedName>
    <definedName name="solver_rbv" localSheetId="0" hidden="1">2</definedName>
    <definedName name="solver_rbv" localSheetId="2" hidden="1">1</definedName>
    <definedName name="solver_rbv" localSheetId="3" hidden="1">1</definedName>
    <definedName name="solver_rel1" localSheetId="0" hidden="1">3</definedName>
    <definedName name="solver_rel1" localSheetId="2" hidden="1">1</definedName>
    <definedName name="solver_rel1" localSheetId="3" hidden="1">3</definedName>
    <definedName name="solver_rel2" localSheetId="0" hidden="1">1</definedName>
    <definedName name="solver_rel2" localSheetId="2" hidden="1">3</definedName>
    <definedName name="solver_rel2" localSheetId="3" hidden="1">3</definedName>
    <definedName name="solver_rel3" localSheetId="0" hidden="1">1</definedName>
    <definedName name="solver_rel3" localSheetId="2" hidden="1">1</definedName>
    <definedName name="solver_rel3" localSheetId="3" hidden="1">3</definedName>
    <definedName name="solver_rel4" localSheetId="0" hidden="1">1</definedName>
    <definedName name="solver_rel4" localSheetId="2" hidden="1">4</definedName>
    <definedName name="solver_rel4" localSheetId="3" hidden="1">3</definedName>
    <definedName name="solver_rel5" localSheetId="2" hidden="1">1</definedName>
    <definedName name="solver_rel5" localSheetId="3" hidden="1">3</definedName>
    <definedName name="solver_rel6" localSheetId="2" hidden="1">1</definedName>
    <definedName name="solver_rel6" localSheetId="3" hidden="1">3</definedName>
    <definedName name="solver_rel7" localSheetId="2" hidden="1">1</definedName>
    <definedName name="solver_rel7" localSheetId="3" hidden="1">4</definedName>
    <definedName name="solver_rel8" localSheetId="3" hidden="1">3</definedName>
    <definedName name="solver_rhs1" localSheetId="0" hidden="1">50</definedName>
    <definedName name="solver_rhs1" localSheetId="2" hidden="1">'Q2'!$F$10</definedName>
    <definedName name="solver_rhs1" localSheetId="3" hidden="1">'Q3'!$C$10</definedName>
    <definedName name="solver_rhs2" localSheetId="0" hidden="1">'Q1'!$E$10</definedName>
    <definedName name="solver_rhs2" localSheetId="2" hidden="1">'Q2'!$F$11</definedName>
    <definedName name="solver_rhs2" localSheetId="3" hidden="1">'Q3'!$C$11</definedName>
    <definedName name="solver_rhs3" localSheetId="0" hidden="1">'Q1'!$E$8</definedName>
    <definedName name="solver_rhs3" localSheetId="2" hidden="1">10</definedName>
    <definedName name="solver_rhs3" localSheetId="3" hidden="1">'Q3'!$C$12</definedName>
    <definedName name="solver_rhs4" localSheetId="0" hidden="1">'Q1'!$E$9</definedName>
    <definedName name="solver_rhs4" localSheetId="2" hidden="1">"integer"</definedName>
    <definedName name="solver_rhs4" localSheetId="3" hidden="1">'Q3'!$C$13</definedName>
    <definedName name="solver_rhs5" localSheetId="2" hidden="1">20</definedName>
    <definedName name="solver_rhs5" localSheetId="3" hidden="1">'Q3'!$C$14</definedName>
    <definedName name="solver_rhs6" localSheetId="2" hidden="1">30</definedName>
    <definedName name="solver_rhs6" localSheetId="3" hidden="1">'Q3'!$C$15</definedName>
    <definedName name="solver_rhs7" localSheetId="2" hidden="1">18200</definedName>
    <definedName name="solver_rhs7" localSheetId="3" hidden="1">"integer"</definedName>
    <definedName name="solver_rhs8" localSheetId="3" hidden="1">'Q3'!$C$9</definedName>
    <definedName name="solver_rlx" localSheetId="0" hidden="1">2</definedName>
    <definedName name="solver_rlx" localSheetId="2" hidden="1">2</definedName>
    <definedName name="solver_rlx" localSheetId="3" hidden="1">2</definedName>
    <definedName name="solver_rsd" localSheetId="0" hidden="1">0</definedName>
    <definedName name="solver_rsd" localSheetId="2" hidden="1">0</definedName>
    <definedName name="solver_rsd" localSheetId="3" hidden="1">0</definedName>
    <definedName name="solver_scl" localSheetId="0" hidden="1">2</definedName>
    <definedName name="solver_scl" localSheetId="2" hidden="1">1</definedName>
    <definedName name="solver_scl" localSheetId="3" hidden="1">1</definedName>
    <definedName name="solver_sho" localSheetId="0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2" hidden="1">100</definedName>
    <definedName name="solver_ssz" localSheetId="3" hidden="1">100</definedName>
    <definedName name="solver_tim" localSheetId="0" hidden="1">2147483647</definedName>
    <definedName name="solver_tim" localSheetId="2" hidden="1">2147483647</definedName>
    <definedName name="solver_tim" localSheetId="3" hidden="1">2147483647</definedName>
    <definedName name="solver_tol" localSheetId="0" hidden="1">0.01</definedName>
    <definedName name="solver_tol" localSheetId="2" hidden="1">0.01</definedName>
    <definedName name="solver_tol" localSheetId="3" hidden="1">0.01</definedName>
    <definedName name="solver_typ" localSheetId="0" hidden="1">1</definedName>
    <definedName name="solver_typ" localSheetId="2" hidden="1">1</definedName>
    <definedName name="solver_typ" localSheetId="3" hidden="1">2</definedName>
    <definedName name="solver_val" localSheetId="0" hidden="1">0</definedName>
    <definedName name="solver_val" localSheetId="2" hidden="1">0</definedName>
    <definedName name="solver_val" localSheetId="3" hidden="1">0</definedName>
    <definedName name="solver_ver" localSheetId="0" hidden="1">3</definedName>
    <definedName name="solver_ver" localSheetId="2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B14" i="3"/>
  <c r="B13" i="3"/>
  <c r="B12" i="3"/>
  <c r="B11" i="3"/>
  <c r="B10" i="3"/>
  <c r="B9" i="3"/>
  <c r="B6" i="3"/>
  <c r="F3" i="2"/>
  <c r="F9" i="2"/>
  <c r="F11" i="2" s="1"/>
  <c r="B10" i="2"/>
  <c r="B11" i="2"/>
  <c r="F6" i="2"/>
  <c r="C10" i="1"/>
  <c r="C9" i="1"/>
  <c r="C8" i="1"/>
  <c r="D4" i="1"/>
  <c r="F10" i="2" l="1"/>
</calcChain>
</file>

<file path=xl/sharedStrings.xml><?xml version="1.0" encoding="utf-8"?>
<sst xmlns="http://schemas.openxmlformats.org/spreadsheetml/2006/main" count="53" uniqueCount="51">
  <si>
    <t>Cookie Package</t>
  </si>
  <si>
    <t>Chocolate Lover</t>
  </si>
  <si>
    <t>Variety</t>
  </si>
  <si>
    <t>Objective: Profit</t>
  </si>
  <si>
    <t>Total Profit</t>
  </si>
  <si>
    <t>Constraints</t>
  </si>
  <si>
    <t>Choco chip used</t>
  </si>
  <si>
    <t>Double-choc used</t>
  </si>
  <si>
    <t>Ginger used</t>
  </si>
  <si>
    <t>Sign</t>
  </si>
  <si>
    <t>T</t>
  </si>
  <si>
    <t>R</t>
  </si>
  <si>
    <t>W</t>
  </si>
  <si>
    <t>Advertisement</t>
  </si>
  <si>
    <t>Decision Variables</t>
  </si>
  <si>
    <t>Objective: Total Audience reached</t>
  </si>
  <si>
    <t>Constraints:</t>
  </si>
  <si>
    <t>Total Cost:</t>
  </si>
  <si>
    <t>Budget (per advertisement)</t>
  </si>
  <si>
    <t xml:space="preserve">Max advertisement limit </t>
  </si>
  <si>
    <t>≤ 10</t>
  </si>
  <si>
    <t>≤ 20</t>
  </si>
  <si>
    <t>≤ 30</t>
  </si>
  <si>
    <t>Total Audience:</t>
  </si>
  <si>
    <t>Total ads:</t>
  </si>
  <si>
    <t xml:space="preserve">Radio % advertisement limit </t>
  </si>
  <si>
    <t>Allowed Radio max:</t>
  </si>
  <si>
    <t xml:space="preserve">TV % min advertisement </t>
  </si>
  <si>
    <t>Required TV min:</t>
  </si>
  <si>
    <t>≤</t>
  </si>
  <si>
    <t>Nurse Scheduling</t>
  </si>
  <si>
    <t>Decision Variables:</t>
  </si>
  <si>
    <t>Mon</t>
  </si>
  <si>
    <t>Tue</t>
  </si>
  <si>
    <t>Wed</t>
  </si>
  <si>
    <t>Thur</t>
  </si>
  <si>
    <t>Fri</t>
  </si>
  <si>
    <t>Sat</t>
  </si>
  <si>
    <t>Sun</t>
  </si>
  <si>
    <t>Total Nurses</t>
  </si>
  <si>
    <t>Day</t>
  </si>
  <si>
    <t>Nurses Working</t>
  </si>
  <si>
    <t>Required Nurses</t>
  </si>
  <si>
    <t>Monday</t>
  </si>
  <si>
    <t>Tuesday</t>
  </si>
  <si>
    <t>Wednesday</t>
  </si>
  <si>
    <t>Thursday</t>
  </si>
  <si>
    <t>Friday</t>
  </si>
  <si>
    <t>Saturday</t>
  </si>
  <si>
    <t>Sunday</t>
  </si>
  <si>
    <t>SMART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</si>
</sst>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B6EC0-A0BE-4E5E-89B9-30D53435E5C7}">
  <dimension ref="A1:J10"/>
  <sheetViews>
    <sheetView zoomScale="115" zoomScaleNormal="115" workbookViewId="0">
      <selection activeCell="H10" sqref="H10"/>
    </sheetView>
  </sheetViews>
  <sheetFormatPr defaultRowHeight="15" x14ac:dyDescent="0.25"/>
  <cols>
    <col min="1" max="1" width="15" style="1" bestFit="1" customWidth="1"/>
    <col min="2" max="2" width="17" style="1" bestFit="1" customWidth="1"/>
    <col min="3" max="3" width="9.140625" style="1"/>
    <col min="4" max="4" width="10.85546875" style="1" bestFit="1" customWidth="1"/>
    <col min="5" max="9" width="9.140625" style="1"/>
    <col min="10" max="10" width="13.85546875" style="1" bestFit="1" customWidth="1"/>
    <col min="11" max="16384" width="9.140625" style="1"/>
  </cols>
  <sheetData>
    <row r="1" spans="1:10" x14ac:dyDescent="0.25">
      <c r="A1" s="5"/>
      <c r="B1" s="7" t="s">
        <v>0</v>
      </c>
      <c r="C1" s="8"/>
      <c r="D1" s="5"/>
      <c r="E1" s="5"/>
      <c r="J1" s="1" t="s">
        <v>50</v>
      </c>
    </row>
    <row r="2" spans="1:10" x14ac:dyDescent="0.25">
      <c r="A2" s="2"/>
      <c r="B2" s="2" t="s">
        <v>1</v>
      </c>
      <c r="C2" s="2" t="s">
        <v>2</v>
      </c>
      <c r="D2" s="2"/>
      <c r="E2" s="2"/>
    </row>
    <row r="3" spans="1:10" x14ac:dyDescent="0.25">
      <c r="A3" s="2"/>
      <c r="B3" s="3">
        <v>50</v>
      </c>
      <c r="C3" s="3">
        <v>150</v>
      </c>
      <c r="D3" s="2" t="s">
        <v>4</v>
      </c>
      <c r="E3" s="2"/>
    </row>
    <row r="4" spans="1:10" x14ac:dyDescent="0.25">
      <c r="A4" s="2" t="s">
        <v>3</v>
      </c>
      <c r="B4" s="2"/>
      <c r="C4" s="2"/>
      <c r="D4" s="4">
        <f>SUMPRODUCT(B3:C3,B5:C5)</f>
        <v>825</v>
      </c>
      <c r="E4" s="2"/>
    </row>
    <row r="5" spans="1:10" x14ac:dyDescent="0.25">
      <c r="A5" s="2"/>
      <c r="B5" s="2">
        <v>4.5</v>
      </c>
      <c r="C5" s="2">
        <v>4</v>
      </c>
      <c r="D5" s="2"/>
      <c r="E5" s="2"/>
    </row>
    <row r="6" spans="1:10" x14ac:dyDescent="0.25">
      <c r="A6" s="2"/>
      <c r="B6" s="2"/>
      <c r="C6" s="2"/>
      <c r="D6" s="2"/>
      <c r="E6" s="2"/>
    </row>
    <row r="7" spans="1:10" x14ac:dyDescent="0.25">
      <c r="A7" s="2" t="s">
        <v>5</v>
      </c>
      <c r="B7" s="2"/>
      <c r="C7" s="2"/>
      <c r="D7" s="2" t="s">
        <v>9</v>
      </c>
      <c r="E7" s="2"/>
    </row>
    <row r="8" spans="1:10" x14ac:dyDescent="0.25">
      <c r="A8" s="2"/>
      <c r="B8" s="2" t="s">
        <v>6</v>
      </c>
      <c r="C8" s="2">
        <f>12*$B$3 + 8*$C$3</f>
        <v>1800</v>
      </c>
      <c r="D8" s="2" t="s">
        <v>29</v>
      </c>
      <c r="E8" s="2">
        <v>1800</v>
      </c>
    </row>
    <row r="9" spans="1:10" x14ac:dyDescent="0.25">
      <c r="A9" s="2"/>
      <c r="B9" s="2" t="s">
        <v>7</v>
      </c>
      <c r="C9" s="2">
        <f>9*$B$3 + 6*$C$3</f>
        <v>1350</v>
      </c>
      <c r="D9" s="2" t="s">
        <v>29</v>
      </c>
      <c r="E9" s="2">
        <v>2500</v>
      </c>
    </row>
    <row r="10" spans="1:10" x14ac:dyDescent="0.25">
      <c r="A10" s="2"/>
      <c r="B10" s="2" t="s">
        <v>8</v>
      </c>
      <c r="C10" s="2">
        <f>7*$C$3</f>
        <v>1050</v>
      </c>
      <c r="D10" s="2" t="s">
        <v>29</v>
      </c>
      <c r="E10" s="2">
        <v>1500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9DBD-E59C-468D-8280-4CE0FF9A3C7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1411-2369-4238-A0F2-9FA9E501028F}">
  <dimension ref="A1:F11"/>
  <sheetViews>
    <sheetView tabSelected="1" zoomScale="115" zoomScaleNormal="115" workbookViewId="0">
      <selection activeCell="E21" sqref="E21"/>
    </sheetView>
  </sheetViews>
  <sheetFormatPr defaultRowHeight="15" x14ac:dyDescent="0.25"/>
  <cols>
    <col min="1" max="1" width="32.140625" style="1" bestFit="1" customWidth="1"/>
    <col min="2" max="4" width="9.140625" style="1"/>
    <col min="5" max="5" width="18.85546875" style="1" bestFit="1" customWidth="1"/>
    <col min="6" max="6" width="9.5703125" style="1" customWidth="1"/>
    <col min="7" max="16384" width="9.140625" style="1"/>
  </cols>
  <sheetData>
    <row r="1" spans="1:6" x14ac:dyDescent="0.25">
      <c r="A1" s="2"/>
      <c r="B1" s="9" t="s">
        <v>13</v>
      </c>
      <c r="C1" s="9"/>
      <c r="D1" s="9"/>
      <c r="E1" s="2"/>
      <c r="F1" s="2"/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2" t="s">
        <v>14</v>
      </c>
      <c r="B3" s="2" t="s">
        <v>10</v>
      </c>
      <c r="C3" s="2" t="s">
        <v>11</v>
      </c>
      <c r="D3" s="2" t="s">
        <v>12</v>
      </c>
      <c r="E3" s="2" t="s">
        <v>23</v>
      </c>
      <c r="F3" s="4">
        <f>SUMPRODUCT(B4:D4,B5:D5)</f>
        <v>1425000</v>
      </c>
    </row>
    <row r="4" spans="1:6" x14ac:dyDescent="0.25">
      <c r="A4" s="2"/>
      <c r="B4" s="6">
        <v>3</v>
      </c>
      <c r="C4" s="6">
        <v>0</v>
      </c>
      <c r="D4" s="6">
        <v>25</v>
      </c>
      <c r="E4" s="2"/>
      <c r="F4" s="2"/>
    </row>
    <row r="5" spans="1:6" x14ac:dyDescent="0.25">
      <c r="A5" s="2" t="s">
        <v>15</v>
      </c>
      <c r="B5" s="2">
        <v>100000</v>
      </c>
      <c r="C5" s="2">
        <v>18000</v>
      </c>
      <c r="D5" s="2">
        <v>45000</v>
      </c>
      <c r="E5" s="2"/>
      <c r="F5" s="2"/>
    </row>
    <row r="6" spans="1:6" x14ac:dyDescent="0.25">
      <c r="A6" s="2"/>
      <c r="B6" s="2"/>
      <c r="C6" s="2"/>
      <c r="D6" s="2"/>
      <c r="E6" s="2" t="s">
        <v>17</v>
      </c>
      <c r="F6" s="4">
        <f>SUMPRODUCT(B4:D4,B8:D8)</f>
        <v>17850</v>
      </c>
    </row>
    <row r="7" spans="1:6" x14ac:dyDescent="0.25">
      <c r="A7" s="2" t="s">
        <v>16</v>
      </c>
      <c r="B7" s="2"/>
      <c r="C7" s="2"/>
      <c r="D7" s="2"/>
      <c r="E7" s="2"/>
      <c r="F7" s="2"/>
    </row>
    <row r="8" spans="1:6" x14ac:dyDescent="0.25">
      <c r="A8" s="2" t="s">
        <v>18</v>
      </c>
      <c r="B8" s="2">
        <v>2200</v>
      </c>
      <c r="C8" s="2">
        <v>800</v>
      </c>
      <c r="D8" s="2">
        <v>450</v>
      </c>
      <c r="E8" s="2"/>
      <c r="F8" s="2"/>
    </row>
    <row r="9" spans="1:6" x14ac:dyDescent="0.25">
      <c r="A9" s="2" t="s">
        <v>19</v>
      </c>
      <c r="B9" s="2" t="s">
        <v>20</v>
      </c>
      <c r="C9" s="2" t="s">
        <v>21</v>
      </c>
      <c r="D9" s="2" t="s">
        <v>22</v>
      </c>
      <c r="E9" s="2" t="s">
        <v>24</v>
      </c>
      <c r="F9" s="4">
        <f>SUM(B4:D4)</f>
        <v>28</v>
      </c>
    </row>
    <row r="10" spans="1:6" x14ac:dyDescent="0.25">
      <c r="A10" s="2" t="s">
        <v>25</v>
      </c>
      <c r="B10" s="2">
        <f>C4</f>
        <v>0</v>
      </c>
      <c r="C10" s="2"/>
      <c r="D10" s="2"/>
      <c r="E10" s="2" t="s">
        <v>26</v>
      </c>
      <c r="F10" s="4">
        <f>0.5*F9</f>
        <v>14</v>
      </c>
    </row>
    <row r="11" spans="1:6" x14ac:dyDescent="0.25">
      <c r="A11" s="2" t="s">
        <v>27</v>
      </c>
      <c r="B11" s="2">
        <f>B4</f>
        <v>3</v>
      </c>
      <c r="C11" s="2"/>
      <c r="D11" s="2"/>
      <c r="E11" s="2" t="s">
        <v>28</v>
      </c>
      <c r="F11" s="4">
        <f>0.1*F9</f>
        <v>2.8000000000000003</v>
      </c>
    </row>
  </sheetData>
  <mergeCells count="1">
    <mergeCell ref="B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AB860-E1DB-453D-9544-C4926AFA6DD3}">
  <dimension ref="A1:H15"/>
  <sheetViews>
    <sheetView zoomScaleNormal="100" workbookViewId="0">
      <selection activeCell="F30" sqref="F30"/>
    </sheetView>
  </sheetViews>
  <sheetFormatPr defaultRowHeight="15" x14ac:dyDescent="0.25"/>
  <cols>
    <col min="1" max="1" width="18.42578125" bestFit="1" customWidth="1"/>
    <col min="2" max="2" width="15.140625" bestFit="1" customWidth="1"/>
    <col min="3" max="3" width="15.7109375" bestFit="1" customWidth="1"/>
  </cols>
  <sheetData>
    <row r="1" spans="1:8" x14ac:dyDescent="0.25">
      <c r="A1" s="2"/>
      <c r="B1" s="10" t="s">
        <v>30</v>
      </c>
      <c r="C1" s="10"/>
      <c r="D1" s="10"/>
      <c r="E1" s="10"/>
      <c r="F1" s="10"/>
      <c r="G1" s="10"/>
      <c r="H1" s="10"/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x14ac:dyDescent="0.25">
      <c r="A3" s="2" t="s">
        <v>31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</row>
    <row r="4" spans="1:8" x14ac:dyDescent="0.25">
      <c r="A4" s="2"/>
      <c r="B4" s="4">
        <v>6</v>
      </c>
      <c r="C4" s="4">
        <v>3</v>
      </c>
      <c r="D4" s="4">
        <v>3</v>
      </c>
      <c r="E4" s="4">
        <v>7</v>
      </c>
      <c r="F4" s="4">
        <v>0</v>
      </c>
      <c r="G4" s="4">
        <v>3</v>
      </c>
      <c r="H4" s="4">
        <v>1</v>
      </c>
    </row>
    <row r="5" spans="1:8" x14ac:dyDescent="0.25">
      <c r="A5" s="2"/>
      <c r="B5" s="2"/>
      <c r="C5" s="2"/>
      <c r="D5" s="2"/>
      <c r="E5" s="2"/>
      <c r="F5" s="2"/>
      <c r="G5" s="2"/>
      <c r="H5" s="2"/>
    </row>
    <row r="6" spans="1:8" x14ac:dyDescent="0.25">
      <c r="A6" s="2" t="s">
        <v>39</v>
      </c>
      <c r="B6" s="4">
        <f>SUM(B4:H4)</f>
        <v>23</v>
      </c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x14ac:dyDescent="0.25">
      <c r="A8" s="2" t="s">
        <v>40</v>
      </c>
      <c r="B8" s="2" t="s">
        <v>41</v>
      </c>
      <c r="C8" s="2" t="s">
        <v>42</v>
      </c>
      <c r="D8" s="2"/>
      <c r="E8" s="2"/>
      <c r="F8" s="2"/>
      <c r="G8" s="2"/>
      <c r="H8" s="2"/>
    </row>
    <row r="9" spans="1:8" x14ac:dyDescent="0.25">
      <c r="A9" s="2" t="s">
        <v>43</v>
      </c>
      <c r="B9" s="4">
        <f>B4+E4+F4+G4+H4</f>
        <v>17</v>
      </c>
      <c r="C9" s="2">
        <v>17</v>
      </c>
      <c r="D9" s="2"/>
      <c r="E9" s="2"/>
      <c r="F9" s="2"/>
      <c r="G9" s="2"/>
      <c r="H9" s="2"/>
    </row>
    <row r="10" spans="1:8" x14ac:dyDescent="0.25">
      <c r="A10" s="2" t="s">
        <v>44</v>
      </c>
      <c r="B10" s="4">
        <f>B4+C4+F4+G4+H4</f>
        <v>13</v>
      </c>
      <c r="C10" s="2">
        <v>13</v>
      </c>
      <c r="D10" s="2"/>
      <c r="E10" s="2"/>
      <c r="F10" s="2"/>
      <c r="G10" s="2"/>
      <c r="H10" s="2"/>
    </row>
    <row r="11" spans="1:8" x14ac:dyDescent="0.25">
      <c r="A11" s="2" t="s">
        <v>45</v>
      </c>
      <c r="B11" s="4">
        <f>B4+C4+D4+G4+H4</f>
        <v>16</v>
      </c>
      <c r="C11" s="2">
        <v>15</v>
      </c>
      <c r="D11" s="2"/>
      <c r="E11" s="2"/>
      <c r="F11" s="2"/>
      <c r="G11" s="2"/>
      <c r="H11" s="2"/>
    </row>
    <row r="12" spans="1:8" x14ac:dyDescent="0.25">
      <c r="A12" s="2" t="s">
        <v>46</v>
      </c>
      <c r="B12" s="4">
        <f>B4+C4+D4+E4+H4</f>
        <v>20</v>
      </c>
      <c r="C12" s="2">
        <v>19</v>
      </c>
      <c r="D12" s="2"/>
      <c r="E12" s="2"/>
      <c r="F12" s="2"/>
      <c r="G12" s="2"/>
      <c r="H12" s="2"/>
    </row>
    <row r="13" spans="1:8" x14ac:dyDescent="0.25">
      <c r="A13" s="2" t="s">
        <v>47</v>
      </c>
      <c r="B13" s="4">
        <f>B4+C4+D4+E4+F4</f>
        <v>19</v>
      </c>
      <c r="C13" s="2">
        <v>14</v>
      </c>
      <c r="D13" s="2"/>
      <c r="E13" s="2"/>
      <c r="F13" s="2"/>
      <c r="G13" s="2"/>
      <c r="H13" s="2"/>
    </row>
    <row r="14" spans="1:8" x14ac:dyDescent="0.25">
      <c r="A14" s="2" t="s">
        <v>48</v>
      </c>
      <c r="B14" s="4">
        <f>C4+D4+E4+F4+G4</f>
        <v>16</v>
      </c>
      <c r="C14" s="2">
        <v>16</v>
      </c>
      <c r="D14" s="2"/>
      <c r="E14" s="2"/>
      <c r="F14" s="2"/>
      <c r="G14" s="2"/>
      <c r="H14" s="2"/>
    </row>
    <row r="15" spans="1:8" x14ac:dyDescent="0.25">
      <c r="A15" s="2" t="s">
        <v>49</v>
      </c>
      <c r="B15" s="4">
        <f>D4+E4+F4+G4+H4</f>
        <v>14</v>
      </c>
      <c r="C15" s="2">
        <v>11</v>
      </c>
      <c r="D15" s="2"/>
      <c r="E15" s="2"/>
      <c r="F15" s="2"/>
      <c r="G15" s="2"/>
      <c r="H15" s="2"/>
    </row>
  </sheetData>
  <mergeCells count="1"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</vt:lpstr>
      <vt:lpstr>Sheet1</vt:lpstr>
      <vt:lpstr>Q2</vt:lpstr>
      <vt:lpstr>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Ballesteros</dc:creator>
  <cp:lastModifiedBy>Pamela Ballesteros</cp:lastModifiedBy>
  <dcterms:created xsi:type="dcterms:W3CDTF">2026-01-21T23:30:16Z</dcterms:created>
  <dcterms:modified xsi:type="dcterms:W3CDTF">2026-03-09T20:10:57Z</dcterms:modified>
</cp:coreProperties>
</file>