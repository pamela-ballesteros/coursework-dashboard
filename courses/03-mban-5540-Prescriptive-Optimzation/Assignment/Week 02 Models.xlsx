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halifax-my.sharepoint.com/personal/majid_taghavi_smu_ca/Documents/A Teaching/5540 - MBAN/Excel Files/"/>
    </mc:Choice>
  </mc:AlternateContent>
  <xr:revisionPtr revIDLastSave="316" documentId="8_{D6FB1309-39B7-0642-9630-603004FDD60C}" xr6:coauthVersionLast="47" xr6:coauthVersionMax="47" xr10:uidLastSave="{2F4984B9-45E0-A543-862E-81F9C27314B5}"/>
  <bookViews>
    <workbookView xWindow="4420" yWindow="660" windowWidth="25820" windowHeight="17420" activeTab="5" xr2:uid="{2B649D31-2EEB-4D66-9D14-6B393683120B}"/>
  </bookViews>
  <sheets>
    <sheet name="Flair Example" sheetId="1" r:id="rId1"/>
    <sheet name="Handout 01 - Q1" sheetId="6" r:id="rId2"/>
    <sheet name="Q2-Investment" sheetId="3" r:id="rId3"/>
    <sheet name="Q2-Investment- Classic" sheetId="2" r:id="rId4"/>
    <sheet name="Q3-Production-Inventory" sheetId="8" r:id="rId5"/>
    <sheet name="Q3-Production-Inv-Classic" sheetId="7" r:id="rId6"/>
  </sheets>
  <externalReferences>
    <externalReference r:id="rId7"/>
  </externalReferences>
  <definedNames>
    <definedName name="carpentry_C">[1]Sheet1!$B$8:$C$8</definedName>
    <definedName name="Decision_Variables">'[1]Table &amp; Chair Example'!$B$4:$C$4</definedName>
    <definedName name="Mac_Chair">[1]Sheet1!$B$10:$C$10</definedName>
    <definedName name="min_Table">[1]Sheet1!$B$11:$C$11</definedName>
    <definedName name="Paint_C">[1]Sheet1!$B$9:$C$9</definedName>
    <definedName name="_xlnm.Print_Area" localSheetId="2">'Q2-Investment'!$A$1:$J$12</definedName>
    <definedName name="Profit">'[1]Table &amp; Chair Example'!$B$5:$C$5</definedName>
    <definedName name="solver_adj" localSheetId="0" hidden="1">'Flair Example'!$B$5:$C$5</definedName>
    <definedName name="solver_adj" localSheetId="1" hidden="1">'Handout 01 - Q1'!$B$4:$G$4</definedName>
    <definedName name="solver_adj" localSheetId="2" hidden="1">'Q2-Investment'!$B$4:$B$9</definedName>
    <definedName name="solver_adj" localSheetId="3" hidden="1">'Q2-Investment- Classic'!$B$4:$G$4</definedName>
    <definedName name="solver_adj" localSheetId="5" hidden="1">'Q3-Production-Inv-Classic'!$B$4:$M$4</definedName>
    <definedName name="solver_adj" localSheetId="4" hidden="1">'Q3-Production-Inventory'!$B$8:$G$8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5" hidden="1">0.0001</definedName>
    <definedName name="solver_cvg" localSheetId="4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5" hidden="1">2</definedName>
    <definedName name="solver_drv" localSheetId="4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5" hidden="1">2</definedName>
    <definedName name="solver_eng" localSheetId="4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5" hidden="1">1</definedName>
    <definedName name="solver_est" localSheetId="4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5" hidden="1">2147483647</definedName>
    <definedName name="solver_itr" localSheetId="4" hidden="1">2147483647</definedName>
    <definedName name="solver_lhs1" localSheetId="0" hidden="1">'Flair Example'!$D$11</definedName>
    <definedName name="solver_lhs1" localSheetId="1" hidden="1">'Handout 01 - Q1'!$H$9:$H$10</definedName>
    <definedName name="solver_lhs1" localSheetId="2" hidden="1">'Q2-Investment'!$B$10</definedName>
    <definedName name="solver_lhs1" localSheetId="3" hidden="1">'Q2-Investment- Classic'!$H$15</definedName>
    <definedName name="solver_lhs1" localSheetId="5" hidden="1">'Q3-Production-Inv-Classic'!$N$14:$N$19</definedName>
    <definedName name="solver_lhs1" localSheetId="4" hidden="1">'Q3-Production-Inventory'!$B$10:$G$10</definedName>
    <definedName name="solver_lhs2" localSheetId="0" hidden="1">'Flair Example'!$D$8</definedName>
    <definedName name="solver_lhs2" localSheetId="2" hidden="1">'Q2-Investment'!$B$4:$B$9</definedName>
    <definedName name="solver_lhs2" localSheetId="3" hidden="1">'Q2-Investment- Classic'!$H$16</definedName>
    <definedName name="solver_lhs2" localSheetId="5" hidden="1">'Q3-Production-Inv-Classic'!$N$20:$N$25</definedName>
    <definedName name="solver_lhs2" localSheetId="4" hidden="1">'Q3-Production-Inventory'!$B$10:$G$10</definedName>
    <definedName name="solver_lhs3" localSheetId="0" hidden="1">'Flair Example'!$D$9:$D$10</definedName>
    <definedName name="solver_lhs3" localSheetId="2" hidden="1">'Q2-Investment'!$F$10</definedName>
    <definedName name="solver_lhs3" localSheetId="3" hidden="1">'Q2-Investment- Classic'!$H$8:$H$14</definedName>
    <definedName name="solver_lhs3" localSheetId="5" hidden="1">'Q3-Production-Inv-Classic'!$N$26:$N$31</definedName>
    <definedName name="solver_lhs3" localSheetId="4" hidden="1">'Q3-Production-Inventory'!$B$8:$G$8</definedName>
    <definedName name="solver_lhs4" localSheetId="2" hidden="1">'Q2-Investment'!$H$10</definedName>
    <definedName name="solver_lhs4" localSheetId="5" hidden="1">'Q3-Production-Inv-Classic'!$N$32:$N$37</definedName>
    <definedName name="solver_lhs4" localSheetId="4" hidden="1">'Q3-Production-Inventory'!$B$8:$G$8</definedName>
    <definedName name="solver_lhs5" localSheetId="5" hidden="1">'Q3-Production-Inv-Classic'!$N$8:$N$13</definedName>
    <definedName name="solver_lin" localSheetId="5" hidden="1">1</definedName>
    <definedName name="solver_lin" localSheetId="4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5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5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5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5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5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5" hidden="1">2147483647</definedName>
    <definedName name="solver_nod" localSheetId="4" hidden="1">2147483647</definedName>
    <definedName name="solver_num" localSheetId="0" hidden="1">3</definedName>
    <definedName name="solver_num" localSheetId="1" hidden="1">1</definedName>
    <definedName name="solver_num" localSheetId="2" hidden="1">4</definedName>
    <definedName name="solver_num" localSheetId="3" hidden="1">3</definedName>
    <definedName name="solver_num" localSheetId="5" hidden="1">5</definedName>
    <definedName name="solver_num" localSheetId="4" hidden="1">4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5" hidden="1">1</definedName>
    <definedName name="solver_nwt" localSheetId="4" hidden="1">1</definedName>
    <definedName name="solver_opt" localSheetId="0" hidden="1">'Flair Example'!$D$6</definedName>
    <definedName name="solver_opt" localSheetId="1" hidden="1">'Handout 01 - Q1'!$H$5</definedName>
    <definedName name="solver_opt" localSheetId="2" hidden="1">'Q2-Investment'!$D$10</definedName>
    <definedName name="solver_opt" localSheetId="3" hidden="1">'Q2-Investment- Classic'!$J$5</definedName>
    <definedName name="solver_opt" localSheetId="5" hidden="1">'Q3-Production-Inv-Classic'!$P$5</definedName>
    <definedName name="solver_opt" localSheetId="4" hidden="1">'Q3-Production-Inventory'!$B$25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5" hidden="1">0.000001</definedName>
    <definedName name="solver_pre" localSheetId="4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5" hidden="1">2</definedName>
    <definedName name="solver_rbv" localSheetId="4" hidden="1">1</definedName>
    <definedName name="solver_rel1" localSheetId="0" hidden="1">3</definedName>
    <definedName name="solver_rel1" localSheetId="1" hidden="1">1</definedName>
    <definedName name="solver_rel1" localSheetId="2" hidden="1">1</definedName>
    <definedName name="solver_rel1" localSheetId="3" hidden="1">3</definedName>
    <definedName name="solver_rel1" localSheetId="5" hidden="1">3</definedName>
    <definedName name="solver_rel1" localSheetId="4" hidden="1">1</definedName>
    <definedName name="solver_rel2" localSheetId="0" hidden="1">1</definedName>
    <definedName name="solver_rel2" localSheetId="2" hidden="1">1</definedName>
    <definedName name="solver_rel2" localSheetId="3" hidden="1">1</definedName>
    <definedName name="solver_rel2" localSheetId="5" hidden="1">2</definedName>
    <definedName name="solver_rel2" localSheetId="4" hidden="1">3</definedName>
    <definedName name="solver_rel3" localSheetId="0" hidden="1">1</definedName>
    <definedName name="solver_rel3" localSheetId="2" hidden="1">3</definedName>
    <definedName name="solver_rel3" localSheetId="3" hidden="1">1</definedName>
    <definedName name="solver_rel3" localSheetId="5" hidden="1">1</definedName>
    <definedName name="solver_rel3" localSheetId="4" hidden="1">1</definedName>
    <definedName name="solver_rel4" localSheetId="2" hidden="1">1</definedName>
    <definedName name="solver_rel4" localSheetId="5" hidden="1">3</definedName>
    <definedName name="solver_rel4" localSheetId="4" hidden="1">3</definedName>
    <definedName name="solver_rel5" localSheetId="5" hidden="1">1</definedName>
    <definedName name="solver_rhs1" localSheetId="0" hidden="1">'Flair Example'!$F$11</definedName>
    <definedName name="solver_rhs1" localSheetId="1" hidden="1">'Handout 01 - Q1'!$J$9:$J$10</definedName>
    <definedName name="solver_rhs1" localSheetId="2" hidden="1">'Q2-Investment'!$B$11</definedName>
    <definedName name="solver_rhs1" localSheetId="3" hidden="1">'Q2-Investment- Classic'!$J$15</definedName>
    <definedName name="solver_rhs1" localSheetId="5" hidden="1">'Q3-Production-Inv-Classic'!$P$14:$P$19</definedName>
    <definedName name="solver_rhs1" localSheetId="4" hidden="1">'Q3-Production-Inventory'!$B$16:$G$16</definedName>
    <definedName name="solver_rhs2" localSheetId="0" hidden="1">'Flair Example'!$F$8</definedName>
    <definedName name="solver_rhs2" localSheetId="2" hidden="1">'Q2-Investment'!$C$4:$C$9</definedName>
    <definedName name="solver_rhs2" localSheetId="3" hidden="1">'Q2-Investment- Classic'!$J$16</definedName>
    <definedName name="solver_rhs2" localSheetId="5" hidden="1">'Q3-Production-Inv-Classic'!$P$20:$P$25</definedName>
    <definedName name="solver_rhs2" localSheetId="4" hidden="1">'Q3-Production-Inventory'!$B$15:$G$15</definedName>
    <definedName name="solver_rhs3" localSheetId="0" hidden="1">'Flair Example'!$F$9:$F$10</definedName>
    <definedName name="solver_rhs3" localSheetId="2" hidden="1">'Q2-Investment'!$F$11</definedName>
    <definedName name="solver_rhs3" localSheetId="3" hidden="1">'Q2-Investment- Classic'!$J$8:$J$14</definedName>
    <definedName name="solver_rhs3" localSheetId="5" hidden="1">'Q3-Production-Inv-Classic'!$P$26:$P$31</definedName>
    <definedName name="solver_rhs3" localSheetId="4" hidden="1">'Q3-Production-Inventory'!$B$12:$G$12</definedName>
    <definedName name="solver_rhs4" localSheetId="2" hidden="1">'Q2-Investment'!$H$11</definedName>
    <definedName name="solver_rhs4" localSheetId="5" hidden="1">'Q3-Production-Inv-Classic'!$P$32:$P$37</definedName>
    <definedName name="solver_rhs4" localSheetId="4" hidden="1">'Q3-Production-Inventory'!$B$13:$G$13</definedName>
    <definedName name="solver_rhs5" localSheetId="5" hidden="1">'Q3-Production-Inv-Classic'!$P$8:$P$13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5" hidden="1">2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5" hidden="1">0</definedName>
    <definedName name="solver_rsd" localSheetId="4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5" hidden="1">2</definedName>
    <definedName name="solver_scl" localSheetId="4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5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5" hidden="1">100</definedName>
    <definedName name="solver_ssz" localSheetId="4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5" hidden="1">2147483647</definedName>
    <definedName name="solver_tim" localSheetId="4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5" hidden="1">0.01</definedName>
    <definedName name="solver_tol" localSheetId="4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5" hidden="1">2</definedName>
    <definedName name="solver_typ" localSheetId="4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5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5" hidden="1">2</definedName>
    <definedName name="solver_ver" localSheetId="4" hidden="1">2</definedName>
    <definedName name="variables">[1]Sheet1!$B$5:$C$5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3" l="1"/>
  <c r="G21" i="8"/>
  <c r="F21" i="8"/>
  <c r="E21" i="8"/>
  <c r="D21" i="8"/>
  <c r="C21" i="8"/>
  <c r="B21" i="8"/>
  <c r="G13" i="8"/>
  <c r="F13" i="8"/>
  <c r="E13" i="8"/>
  <c r="D13" i="8"/>
  <c r="C13" i="8"/>
  <c r="B13" i="8"/>
  <c r="B10" i="8"/>
  <c r="C7" i="8" s="1"/>
  <c r="C10" i="8" s="1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O20" i="7"/>
  <c r="N20" i="7"/>
  <c r="P19" i="7"/>
  <c r="N19" i="7"/>
  <c r="P18" i="7"/>
  <c r="N18" i="7"/>
  <c r="P17" i="7"/>
  <c r="N17" i="7"/>
  <c r="P16" i="7"/>
  <c r="N16" i="7"/>
  <c r="P15" i="7"/>
  <c r="N15" i="7"/>
  <c r="P14" i="7"/>
  <c r="N14" i="7"/>
  <c r="N13" i="7"/>
  <c r="N12" i="7"/>
  <c r="N11" i="7"/>
  <c r="N10" i="7"/>
  <c r="N9" i="7"/>
  <c r="N8" i="7"/>
  <c r="P5" i="7"/>
  <c r="C22" i="8" l="1"/>
  <c r="D7" i="8"/>
  <c r="D10" i="8" s="1"/>
  <c r="B22" i="8"/>
  <c r="D22" i="8" l="1"/>
  <c r="E7" i="8"/>
  <c r="E10" i="8" s="1"/>
  <c r="F7" i="8" l="1"/>
  <c r="F10" i="8" s="1"/>
  <c r="E22" i="8"/>
  <c r="G7" i="8" l="1"/>
  <c r="G10" i="8" s="1"/>
  <c r="G22" i="8" s="1"/>
  <c r="F22" i="8"/>
  <c r="B25" i="8" l="1"/>
  <c r="G10" i="6"/>
  <c r="F10" i="6"/>
  <c r="E10" i="6"/>
  <c r="H10" i="6" s="1"/>
  <c r="D9" i="6"/>
  <c r="C9" i="6"/>
  <c r="B9" i="6"/>
  <c r="H9" i="6" s="1"/>
  <c r="H5" i="6"/>
  <c r="H10" i="3"/>
  <c r="F10" i="3" a="1"/>
  <c r="F10" i="3" s="1"/>
  <c r="D10" i="3"/>
  <c r="B10" i="3"/>
  <c r="H11" i="3" s="1"/>
  <c r="F9" i="3"/>
  <c r="C9" i="3"/>
  <c r="F8" i="3"/>
  <c r="C8" i="3"/>
  <c r="F7" i="3"/>
  <c r="F6" i="3"/>
  <c r="F5" i="3"/>
  <c r="C5" i="3"/>
  <c r="F4" i="3"/>
  <c r="C4" i="3"/>
  <c r="H16" i="2"/>
  <c r="H15" i="2"/>
  <c r="H14" i="2"/>
  <c r="H13" i="2"/>
  <c r="H12" i="2"/>
  <c r="H11" i="2"/>
  <c r="H10" i="2"/>
  <c r="H9" i="2"/>
  <c r="H8" i="2"/>
  <c r="J5" i="2"/>
  <c r="F11" i="3" l="1"/>
  <c r="C7" i="3"/>
  <c r="D9" i="1" l="1"/>
  <c r="D10" i="1"/>
  <c r="D11" i="1"/>
  <c r="D8" i="1"/>
  <c r="D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<sst xmlns="http://schemas.openxmlformats.org/spreadsheetml/2006/main" count="117" uniqueCount="89">
  <si>
    <t>Tables</t>
  </si>
  <si>
    <t>Chairs</t>
  </si>
  <si>
    <t>C</t>
  </si>
  <si>
    <t>T</t>
  </si>
  <si>
    <t>Decision Variables</t>
  </si>
  <si>
    <t>Objective: Profit</t>
  </si>
  <si>
    <t>Constraints:</t>
  </si>
  <si>
    <t>Carpentry</t>
  </si>
  <si>
    <t>Painting</t>
  </si>
  <si>
    <t>Max Chair</t>
  </si>
  <si>
    <t>Min Table</t>
  </si>
  <si>
    <t>&lt;=</t>
  </si>
  <si>
    <t>&gt;=</t>
  </si>
  <si>
    <t>LHS</t>
  </si>
  <si>
    <t>Sign</t>
  </si>
  <si>
    <t>RHS</t>
  </si>
  <si>
    <t>X1</t>
  </si>
  <si>
    <t>X2</t>
  </si>
  <si>
    <t>X3</t>
  </si>
  <si>
    <t>X4</t>
  </si>
  <si>
    <t>X5</t>
  </si>
  <si>
    <t>X6</t>
  </si>
  <si>
    <t>Profit</t>
  </si>
  <si>
    <t>Avilable Money</t>
  </si>
  <si>
    <t>Max 25% in each company</t>
  </si>
  <si>
    <t>Min 50% in Mature Funds</t>
  </si>
  <si>
    <t>Max 35% in Low Rating</t>
  </si>
  <si>
    <t>Company</t>
  </si>
  <si>
    <t>Investment</t>
  </si>
  <si>
    <t>Maximum</t>
  </si>
  <si>
    <t>Return</t>
  </si>
  <si>
    <t>Years to Maturity</t>
  </si>
  <si>
    <t>10+ years? (yes=1, no=0)</t>
  </si>
  <si>
    <t>Rating</t>
  </si>
  <si>
    <t>High rating? (1=no, 0=yes)</t>
  </si>
  <si>
    <t>Amount</t>
  </si>
  <si>
    <t>1-Excellent</t>
  </si>
  <si>
    <t>3-Good</t>
  </si>
  <si>
    <t>4-Fair</t>
  </si>
  <si>
    <t>2-Very Good</t>
  </si>
  <si>
    <t>Total Invested</t>
  </si>
  <si>
    <t>Total</t>
  </si>
  <si>
    <t>Total Available</t>
  </si>
  <si>
    <t>Half of the money</t>
  </si>
  <si>
    <t>35% of the money</t>
  </si>
  <si>
    <t>AH</t>
  </si>
  <si>
    <t>BH</t>
  </si>
  <si>
    <t>CH</t>
  </si>
  <si>
    <t>AC</t>
  </si>
  <si>
    <t>BC</t>
  </si>
  <si>
    <t>CC</t>
  </si>
  <si>
    <t>Objective</t>
  </si>
  <si>
    <t>Constraints</t>
  </si>
  <si>
    <t>Halifax</t>
  </si>
  <si>
    <t>Calgary</t>
  </si>
  <si>
    <t>Product X</t>
  </si>
  <si>
    <t>Production</t>
  </si>
  <si>
    <t>Inventoey</t>
  </si>
  <si>
    <t>Total Cost</t>
  </si>
  <si>
    <t>X</t>
  </si>
  <si>
    <t>Beginning Inventory</t>
  </si>
  <si>
    <t>unit produced</t>
  </si>
  <si>
    <t>Unit demand</t>
  </si>
  <si>
    <t>Ending Inventory</t>
  </si>
  <si>
    <t>Maximum Production</t>
  </si>
  <si>
    <t>Minimum Production</t>
  </si>
  <si>
    <t>Minimum Inventory</t>
  </si>
  <si>
    <t>Maximum Inventory</t>
  </si>
  <si>
    <t>Production cost</t>
  </si>
  <si>
    <t>Inventory carrying cost</t>
  </si>
  <si>
    <t>Monthly Production cost</t>
  </si>
  <si>
    <t>Monthly Inventory carring cost</t>
  </si>
  <si>
    <t xml:space="preserve">Max production </t>
  </si>
  <si>
    <t xml:space="preserve">Min production </t>
  </si>
  <si>
    <t xml:space="preserve">Inventory Balance </t>
  </si>
  <si>
    <t xml:space="preserve">Inventory Max </t>
  </si>
  <si>
    <t xml:space="preserve">Inventory Min </t>
  </si>
  <si>
    <t>P1</t>
  </si>
  <si>
    <t>P2</t>
  </si>
  <si>
    <t>P3</t>
  </si>
  <si>
    <t>P4</t>
  </si>
  <si>
    <t>P5</t>
  </si>
  <si>
    <t>P6</t>
  </si>
  <si>
    <t>I1</t>
  </si>
  <si>
    <t>I2</t>
  </si>
  <si>
    <t>I3</t>
  </si>
  <si>
    <t>I4</t>
  </si>
  <si>
    <t>I5</t>
  </si>
  <si>
    <t>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</si>
</sst>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_);_(&quot;$&quot;* \(#,##0\);_(&quot;$&quot;* &quot;-&quot;??_);_(@_)"/>
    <numFmt numFmtId="167" formatCode="_-* #,##0_-;\-* #,##0_-;_-* &quot;-&quot;??_-;_-@_-"/>
    <numFmt numFmtId="168" formatCode="_(&quot;$&quot;* #,##0.000_);_(&quot;$&quot;* \(#,##0.000\);_(&quot;$&quot;* &quot;-&quot;??_);_(@_)"/>
    <numFmt numFmtId="169" formatCode="_-&quot;$&quot;* #,##0.000_-;\-&quot;$&quot;* #,##0.000_-;_-&quot;$&quot;* &quot;-&quot;???_-;_-@_-"/>
    <numFmt numFmtId="170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4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4" xfId="0" applyBorder="1"/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6" fontId="0" fillId="2" borderId="0" xfId="2" applyNumberFormat="1" applyFont="1" applyFill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 wrapText="1"/>
    </xf>
    <xf numFmtId="44" fontId="0" fillId="4" borderId="0" xfId="2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9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3" fontId="3" fillId="2" borderId="20" xfId="1" applyNumberFormat="1" applyFont="1" applyFill="1" applyBorder="1" applyAlignment="1">
      <alignment horizontal="center" vertical="center"/>
    </xf>
    <xf numFmtId="166" fontId="3" fillId="0" borderId="20" xfId="2" applyNumberFormat="1" applyFont="1" applyBorder="1" applyAlignment="1">
      <alignment horizontal="center" vertical="center"/>
    </xf>
    <xf numFmtId="10" fontId="2" fillId="0" borderId="20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166" fontId="3" fillId="0" borderId="21" xfId="2" applyNumberFormat="1" applyFont="1" applyBorder="1" applyAlignment="1">
      <alignment vertical="center"/>
    </xf>
    <xf numFmtId="0" fontId="3" fillId="0" borderId="22" xfId="0" applyFont="1" applyBorder="1" applyAlignment="1">
      <alignment horizontal="right" vertical="center"/>
    </xf>
    <xf numFmtId="166" fontId="2" fillId="0" borderId="10" xfId="2" applyNumberFormat="1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right" vertical="center" wrapText="1"/>
    </xf>
    <xf numFmtId="166" fontId="3" fillId="0" borderId="21" xfId="2" applyNumberFormat="1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166" fontId="3" fillId="0" borderId="23" xfId="2" applyNumberFormat="1" applyFont="1" applyBorder="1" applyAlignment="1">
      <alignment vertical="center"/>
    </xf>
    <xf numFmtId="0" fontId="3" fillId="0" borderId="24" xfId="0" applyFont="1" applyBorder="1" applyAlignment="1">
      <alignment horizontal="right" vertical="center"/>
    </xf>
    <xf numFmtId="166" fontId="2" fillId="0" borderId="13" xfId="2" applyNumberFormat="1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right" vertical="center" wrapText="1"/>
    </xf>
    <xf numFmtId="166" fontId="2" fillId="0" borderId="23" xfId="2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167" fontId="0" fillId="0" borderId="0" xfId="4" applyNumberFormat="1" applyFont="1" applyAlignment="1">
      <alignment horizontal="center" vertical="center"/>
    </xf>
    <xf numFmtId="166" fontId="0" fillId="0" borderId="26" xfId="2" applyNumberFormat="1" applyFont="1" applyBorder="1" applyAlignment="1">
      <alignment horizontal="center" vertical="center"/>
    </xf>
    <xf numFmtId="166" fontId="0" fillId="0" borderId="0" xfId="2" applyNumberFormat="1" applyFont="1" applyBorder="1" applyAlignment="1">
      <alignment horizontal="center" vertical="center"/>
    </xf>
    <xf numFmtId="166" fontId="0" fillId="0" borderId="27" xfId="2" applyNumberFormat="1" applyFont="1" applyBorder="1" applyAlignment="1">
      <alignment horizontal="center" vertical="center"/>
    </xf>
    <xf numFmtId="44" fontId="0" fillId="0" borderId="0" xfId="2" applyFont="1" applyBorder="1" applyAlignment="1">
      <alignment horizontal="center" vertical="center"/>
    </xf>
    <xf numFmtId="44" fontId="0" fillId="0" borderId="26" xfId="2" applyFont="1" applyBorder="1" applyAlignment="1">
      <alignment horizontal="center" vertical="center"/>
    </xf>
    <xf numFmtId="44" fontId="0" fillId="0" borderId="27" xfId="2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8" fontId="0" fillId="0" borderId="0" xfId="2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0" fillId="0" borderId="26" xfId="3" applyNumberFormat="1" applyFont="1" applyBorder="1" applyAlignment="1">
      <alignment horizontal="center" vertical="center"/>
    </xf>
    <xf numFmtId="170" fontId="0" fillId="0" borderId="0" xfId="3" applyNumberFormat="1" applyFont="1" applyBorder="1" applyAlignment="1">
      <alignment horizontal="center" vertical="center"/>
    </xf>
    <xf numFmtId="170" fontId="0" fillId="0" borderId="27" xfId="3" applyNumberFormat="1" applyFont="1" applyBorder="1" applyAlignment="1">
      <alignment horizontal="center" vertical="center"/>
    </xf>
    <xf numFmtId="170" fontId="0" fillId="2" borderId="26" xfId="3" applyNumberFormat="1" applyFont="1" applyFill="1" applyBorder="1" applyAlignment="1">
      <alignment horizontal="center" vertical="center"/>
    </xf>
    <xf numFmtId="170" fontId="0" fillId="2" borderId="0" xfId="3" applyNumberFormat="1" applyFont="1" applyFill="1" applyBorder="1" applyAlignment="1">
      <alignment horizontal="center" vertical="center"/>
    </xf>
    <xf numFmtId="170" fontId="0" fillId="2" borderId="27" xfId="3" applyNumberFormat="1" applyFont="1" applyFill="1" applyBorder="1" applyAlignment="1">
      <alignment horizontal="center" vertical="center"/>
    </xf>
    <xf numFmtId="170" fontId="0" fillId="0" borderId="26" xfId="3" applyNumberFormat="1" applyFont="1" applyBorder="1" applyAlignment="1">
      <alignment horizontal="center" vertical="top"/>
    </xf>
    <xf numFmtId="170" fontId="0" fillId="0" borderId="0" xfId="3" applyNumberFormat="1" applyFont="1" applyBorder="1" applyAlignment="1">
      <alignment horizontal="center" vertical="top"/>
    </xf>
    <xf numFmtId="170" fontId="0" fillId="0" borderId="27" xfId="3" applyNumberFormat="1" applyFont="1" applyBorder="1" applyAlignment="1">
      <alignment horizontal="center" vertical="top"/>
    </xf>
    <xf numFmtId="166" fontId="0" fillId="0" borderId="0" xfId="0" applyNumberFormat="1" applyAlignment="1">
      <alignment horizontal="center" vertical="center"/>
    </xf>
    <xf numFmtId="166" fontId="0" fillId="0" borderId="24" xfId="2" applyNumberFormat="1" applyFont="1" applyBorder="1" applyAlignment="1">
      <alignment horizontal="center" vertical="center"/>
    </xf>
    <xf numFmtId="166" fontId="0" fillId="0" borderId="13" xfId="2" applyNumberFormat="1" applyFont="1" applyBorder="1" applyAlignment="1">
      <alignment horizontal="center" vertical="center"/>
    </xf>
    <xf numFmtId="166" fontId="0" fillId="0" borderId="23" xfId="2" applyNumberFormat="1" applyFont="1" applyBorder="1" applyAlignment="1">
      <alignment horizontal="center" vertical="center"/>
    </xf>
    <xf numFmtId="170" fontId="0" fillId="0" borderId="0" xfId="3" applyNumberFormat="1" applyFont="1" applyAlignment="1">
      <alignment horizontal="center" vertical="center"/>
    </xf>
    <xf numFmtId="168" fontId="0" fillId="0" borderId="27" xfId="2" applyNumberFormat="1" applyFont="1" applyBorder="1" applyAlignment="1">
      <alignment horizontal="center" vertical="center"/>
    </xf>
    <xf numFmtId="44" fontId="0" fillId="0" borderId="28" xfId="2" applyFont="1" applyFill="1" applyBorder="1" applyAlignment="1">
      <alignment horizontal="center" vertical="center"/>
    </xf>
    <xf numFmtId="44" fontId="0" fillId="0" borderId="7" xfId="2" applyFont="1" applyFill="1" applyBorder="1" applyAlignment="1">
      <alignment horizontal="center" vertical="center"/>
    </xf>
    <xf numFmtId="44" fontId="0" fillId="0" borderId="29" xfId="2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44" fontId="3" fillId="4" borderId="21" xfId="2" applyFont="1" applyFill="1" applyBorder="1" applyAlignment="1">
      <alignment horizontal="center" vertical="center"/>
    </xf>
    <xf numFmtId="44" fontId="3" fillId="4" borderId="23" xfId="2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7" fillId="0" borderId="18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/>
    </xf>
    <xf numFmtId="0" fontId="4" fillId="0" borderId="12" xfId="0" applyFont="1" applyBorder="1" applyAlignment="1">
      <alignment horizontal="center" vertical="center" textRotation="90"/>
    </xf>
    <xf numFmtId="0" fontId="7" fillId="0" borderId="3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</cellXfs>
  <cellStyles count="5">
    <cellStyle name="Comma 2" xfId="3" xr:uid="{AE8BA39D-A894-4C65-9441-8E64B6D19C4D}"/>
    <cellStyle name="Comma 2 2" xfId="4" xr:uid="{A167AC4C-CC20-4412-9255-FA7FBC52225C}"/>
    <cellStyle name="Currency 2" xfId="2" xr:uid="{71529F70-B9C2-4DB3-A285-F15EF6F26965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421141</xdr:colOff>
      <xdr:row>18</xdr:row>
      <xdr:rowOff>80282</xdr:rowOff>
    </xdr:from>
    <xdr:to>
      <xdr:col>18</xdr:col>
      <xdr:colOff>90488</xdr:colOff>
      <xdr:row>37</xdr:row>
      <xdr:rowOff>99332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6C595C-1719-4206-A092-35C16D99E901}"/>
                </a:ext>
              </a:extLst>
            </xdr:cNvPr>
            <xdr:cNvSpPr txBox="1"/>
          </xdr:nvSpPr>
          <xdr:spPr>
            <a:xfrm>
              <a:off x="8003041" y="4671332"/>
              <a:ext cx="5365297" cy="36385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</a:t>
              </a:r>
              <a:r>
                <a:rPr lang="en-US" sz="110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LP Model:</a:t>
              </a:r>
              <a:endParaRPr lang="en-U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𝑀𝑎𝑥</m:t>
                    </m:r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0.0865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+0.095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+0.1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+0.0875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+0.0925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+0.09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</m:t>
                    </m:r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  </m:t>
                    </m:r>
                  </m:oMath>
                </m:oMathPara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CA" sz="1100">
                  <a:solidFill>
                    <a:schemeClr val="dk1"/>
                  </a:solidFill>
                  <a:effectLst/>
                  <a:ea typeface="+mn-ea"/>
                  <a:cs typeface="+mn-cs"/>
                </a:rPr>
                <a:t>	</a:t>
              </a:r>
              <a14:m>
                <m:oMath xmlns:m="http://schemas.openxmlformats.org/officeDocument/2006/math"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5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6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≤750,000</m:t>
                  </m:r>
                </m:oMath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CA" sz="1100">
                  <a:solidFill>
                    <a:schemeClr val="dk1"/>
                  </a:solidFill>
                  <a:effectLst/>
                  <a:ea typeface="+mn-ea"/>
                  <a:cs typeface="+mn-cs"/>
                </a:rPr>
                <a:t>	 </a:t>
              </a:r>
              <a14:m>
                <m:oMath xmlns:m="http://schemas.openxmlformats.org/officeDocument/2006/math"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0.</m:t>
                      </m:r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75</m:t>
                      </m:r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0.25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0.25</m:t>
                      </m:r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0.25</m:t>
                      </m:r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b>
                  </m:sSub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0.25</m:t>
                      </m:r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5</m:t>
                      </m:r>
                    </m:sub>
                  </m:sSub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0.25</m:t>
                      </m:r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6</m:t>
                      </m:r>
                    </m:sub>
                  </m:sSub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≤0</m:t>
                  </m:r>
                </m:oMath>
              </a14:m>
              <a:endParaRPr lang="en-US" sz="1100" b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0.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7</m:t>
                    </m:r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5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≤0</m:t>
                    </m:r>
                  </m:oMath>
                </m:oMathPara>
              </a14:m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0.25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7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≤0</m:t>
                    </m:r>
                  </m:oMath>
                </m:oMathPara>
              </a14:m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0.25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7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≤0</m:t>
                    </m:r>
                  </m:oMath>
                </m:oMathPara>
              </a14:m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0.25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7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≤0</m:t>
                    </m:r>
                  </m:oMath>
                </m:oMathPara>
              </a14:m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0.25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7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≤0</m:t>
                    </m:r>
                  </m:oMath>
                </m:oMathPara>
              </a14:m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CA" sz="1100">
                  <a:solidFill>
                    <a:schemeClr val="dk1"/>
                  </a:solidFill>
                  <a:effectLst/>
                  <a:ea typeface="+mn-ea"/>
                  <a:cs typeface="+mn-cs"/>
                </a:rPr>
                <a:t>	</a:t>
              </a:r>
              <a14:m>
                <m:oMath xmlns:m="http://schemas.openxmlformats.org/officeDocument/2006/math">
                  <m:r>
                    <a:rPr lang="en-US" sz="11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0.5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0.5</m:t>
                      </m:r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−0.5</m:t>
                  </m:r>
                  <m:sSub>
                    <m:sSubPr>
                      <m:ctrlP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0.5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b>
                  </m:sSub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−0.5</m:t>
                  </m:r>
                  <m:sSub>
                    <m:sSubPr>
                      <m:ctrlP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5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0.5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6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≥0</m:t>
                  </m:r>
                </m:oMath>
              </a14:m>
              <a:endParaRPr lang="en-US" sz="110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CA" sz="1100">
                  <a:solidFill>
                    <a:schemeClr val="dk1"/>
                  </a:solidFill>
                  <a:effectLst/>
                  <a:ea typeface="+mn-ea"/>
                  <a:cs typeface="+mn-cs"/>
                </a:rPr>
                <a:t>	</a:t>
              </a:r>
              <a14:m>
                <m:oMath xmlns:m="http://schemas.openxmlformats.org/officeDocument/2006/math"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−0.35</m:t>
                      </m:r>
                      <m:sSub>
                        <m:sSubPr>
                          <m:ctrlP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b>
                          <m: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</m:t>
                          </m:r>
                        </m:sub>
                      </m:sSub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+0.65</m:t>
                      </m:r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0.65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−0.35</m:t>
                  </m:r>
                  <m:sSub>
                    <m:sSubPr>
                      <m:ctrlP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0.65</m:t>
                  </m:r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5</m:t>
                      </m:r>
                    </m:sub>
                  </m:sSub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−0.35</m:t>
                  </m:r>
                  <m:sSub>
                    <m:sSubPr>
                      <m:ctrlP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6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≤</m:t>
                  </m:r>
                  <m:r>
                    <a:rPr lang="en-US" sz="11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</m:t>
                  </m:r>
                </m:oMath>
              </a14:m>
              <a:endParaRPr lang="en-US" sz="1100" b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CA" sz="1100">
                  <a:solidFill>
                    <a:schemeClr val="dk1"/>
                  </a:solidFill>
                  <a:effectLst/>
                  <a:ea typeface="+mn-ea"/>
                  <a:cs typeface="+mn-cs"/>
                </a:rPr>
                <a:t>	</a:t>
              </a:r>
              <a14:m>
                <m:oMath xmlns:m="http://schemas.openxmlformats.org/officeDocument/2006/math"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≥0</m:t>
                  </m:r>
                </m:oMath>
              </a14:m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      for all </a:t>
              </a:r>
              <a14:m>
                <m:oMath xmlns:m="http://schemas.openxmlformats.org/officeDocument/2006/math"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𝑖</m:t>
                  </m:r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=1,2,3,4,5,6</m:t>
                  </m:r>
                </m:oMath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CA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6C595C-1719-4206-A092-35C16D99E901}"/>
                </a:ext>
              </a:extLst>
            </xdr:cNvPr>
            <xdr:cNvSpPr txBox="1"/>
          </xdr:nvSpPr>
          <xdr:spPr>
            <a:xfrm>
              <a:off x="8003041" y="4671332"/>
              <a:ext cx="5365297" cy="36385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</a:t>
              </a:r>
              <a:r>
                <a:rPr lang="en-US" sz="110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LP Model:</a:t>
              </a:r>
              <a:endParaRPr lang="en-U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𝑀𝑎𝑥 0.0865𝑥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1+0.095𝑥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2+0.1𝑥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3+0.0875𝑥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4+0.0925𝑥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5+0.09𝑥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𝑆.𝑡.  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CA" sz="1100">
                  <a:solidFill>
                    <a:schemeClr val="dk1"/>
                  </a:solidFill>
                  <a:effectLst/>
                  <a:ea typeface="+mn-ea"/>
                  <a:cs typeface="+mn-cs"/>
                </a:rPr>
                <a:t>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6≤750,000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CA" sz="1100">
                  <a:solidFill>
                    <a:schemeClr val="dk1"/>
                  </a:solidFill>
                  <a:effectLst/>
                  <a:ea typeface="+mn-ea"/>
                  <a:cs typeface="+mn-cs"/>
                </a:rPr>
                <a:t>	 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75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1−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≤0</a:t>
              </a:r>
              <a:endParaRPr lang="en-US" sz="1100" b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/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25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≤0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25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1−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≤0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25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1−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≤0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25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1−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≤0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25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1−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≤0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CA" sz="1100">
                  <a:solidFill>
                    <a:schemeClr val="dk1"/>
                  </a:solidFill>
                  <a:effectLst/>
                  <a:ea typeface="+mn-ea"/>
                  <a:cs typeface="+mn-cs"/>
                </a:rPr>
                <a:t>	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0.5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0.5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−0.5𝑥_3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0.5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−0.5𝑥_5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0.5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6≥0</a:t>
              </a:r>
              <a:endParaRPr lang="en-US" sz="110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CA" sz="1100">
                  <a:solidFill>
                    <a:schemeClr val="dk1"/>
                  </a:solidFill>
                  <a:effectLst/>
                  <a:ea typeface="+mn-ea"/>
                  <a:cs typeface="+mn-cs"/>
                </a:rPr>
                <a:t>	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−0.35𝑥_1+0.65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0.65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−0.35𝑥_4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0.65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−0.35𝑥_6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≤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endParaRPr lang="en-US" sz="1100" b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CA" sz="1100">
                  <a:solidFill>
                    <a:schemeClr val="dk1"/>
                  </a:solidFill>
                  <a:effectLst/>
                  <a:ea typeface="+mn-ea"/>
                  <a:cs typeface="+mn-cs"/>
                </a:rPr>
                <a:t>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𝑖≥0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      for all 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𝑖=1,2,3,4,5,6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CA" sz="1100"/>
            </a:p>
          </xdr:txBody>
        </xdr:sp>
      </mc:Fallback>
    </mc:AlternateContent>
    <xdr:clientData/>
  </xdr:twoCellAnchor>
  <xdr:twoCellAnchor>
    <xdr:from>
      <xdr:col>0</xdr:col>
      <xdr:colOff>140834</xdr:colOff>
      <xdr:row>18</xdr:row>
      <xdr:rowOff>93889</xdr:rowOff>
    </xdr:from>
    <xdr:to>
      <xdr:col>4</xdr:col>
      <xdr:colOff>557892</xdr:colOff>
      <xdr:row>37</xdr:row>
      <xdr:rowOff>112939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9CB52AF-F16C-4031-B771-394AD19C7CED}"/>
                </a:ext>
              </a:extLst>
            </xdr:cNvPr>
            <xdr:cNvSpPr txBox="1"/>
          </xdr:nvSpPr>
          <xdr:spPr>
            <a:xfrm>
              <a:off x="140834" y="4684939"/>
              <a:ext cx="4484233" cy="36385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</a:t>
              </a:r>
              <a:r>
                <a:rPr lang="en-US" sz="110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LP Model:</a:t>
              </a:r>
              <a:endParaRPr lang="en-U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𝑀𝑎𝑥</m:t>
                    </m:r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0.0865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+0.095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+0.1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+0.0875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+0.0925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+0.09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</m:t>
                    </m:r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  </m:t>
                    </m:r>
                  </m:oMath>
                </m:oMathPara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≤750,000</m:t>
                    </m:r>
                  </m:oMath>
                </m:oMathPara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≤0.25 </m:t>
                    </m:r>
                    <m:d>
                      <m:d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≤0.25 </m:t>
                    </m:r>
                    <m:d>
                      <m:d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≤0.25 </m:t>
                    </m:r>
                    <m:d>
                      <m:d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≤0.25 </m:t>
                    </m:r>
                    <m:d>
                      <m:d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≤0.25 </m:t>
                    </m:r>
                    <m:d>
                      <m:d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≤0.25 </m:t>
                    </m:r>
                    <m:d>
                      <m:d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≥0.5 </m:t>
                    </m:r>
                    <m:d>
                      <m:d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≤0.35 </m:t>
                    </m:r>
                    <m:d>
                      <m:dPr>
                        <m:ctrlPr>
                          <a:rPr lang="en-CA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CA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14:m>
                <m:oMath xmlns:m="http://schemas.openxmlformats.org/officeDocument/2006/math">
                  <m:sSub>
                    <m:sSubPr>
                      <m:ctrlPr>
                        <a:rPr lang="en-CA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</m:sSub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≥0</m:t>
                  </m:r>
                </m:oMath>
              </a14:m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      for all </a:t>
              </a:r>
              <a14:m>
                <m:oMath xmlns:m="http://schemas.openxmlformats.org/officeDocument/2006/math"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𝑖</m:t>
                  </m:r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=1,2,3,4,5,6</m:t>
                  </m:r>
                </m:oMath>
              </a14:m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CA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9CB52AF-F16C-4031-B771-394AD19C7CED}"/>
                </a:ext>
              </a:extLst>
            </xdr:cNvPr>
            <xdr:cNvSpPr txBox="1"/>
          </xdr:nvSpPr>
          <xdr:spPr>
            <a:xfrm>
              <a:off x="140834" y="4684939"/>
              <a:ext cx="4484233" cy="36385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</a:t>
              </a:r>
              <a:r>
                <a:rPr lang="en-US" sz="110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LP Model:</a:t>
              </a:r>
              <a:endParaRPr lang="en-U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𝑀𝑎𝑥 0.0865𝑥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1+0.095𝑥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2+0.1𝑥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3+0.0875𝑥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4+0.0925𝑥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5+0.09𝑥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𝑆.𝑡.  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6≤750,000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1≤0.25 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6 )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2≤0.25 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6 )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3≤0.25 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6 )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4≤0.25 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6 )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5≤0.25 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6 )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6≤0.25 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6 )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6≥0.5 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6 )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5≤0.35 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5+𝑥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6 )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CA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𝑖≥0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      for all 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𝑖=1,2,3,4,5,6</a:t>
              </a:r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CA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CA" sz="1100"/>
            </a:p>
          </xdr:txBody>
        </xdr:sp>
      </mc:Fallback>
    </mc:AlternateContent>
    <xdr:clientData/>
  </xdr:twoCellAnchor>
  <xdr:twoCellAnchor>
    <xdr:from>
      <xdr:col>4</xdr:col>
      <xdr:colOff>557892</xdr:colOff>
      <xdr:row>27</xdr:row>
      <xdr:rowOff>185057</xdr:rowOff>
    </xdr:from>
    <xdr:to>
      <xdr:col>9</xdr:col>
      <xdr:colOff>421141</xdr:colOff>
      <xdr:row>28</xdr:row>
      <xdr:rowOff>8164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D608618-C968-4EE7-A408-4A3CE95DCDA6}"/>
            </a:ext>
          </a:extLst>
        </xdr:cNvPr>
        <xdr:cNvCxnSpPr>
          <a:stCxn id="3" idx="3"/>
          <a:endCxn id="2" idx="1"/>
        </xdr:cNvCxnSpPr>
      </xdr:nvCxnSpPr>
      <xdr:spPr>
        <a:xfrm flipV="1">
          <a:off x="4625067" y="6490607"/>
          <a:ext cx="3377974" cy="13607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638855</xdr:colOff>
      <xdr:row>19</xdr:row>
      <xdr:rowOff>52227</xdr:rowOff>
    </xdr:from>
    <xdr:to>
      <xdr:col>9</xdr:col>
      <xdr:colOff>285750</xdr:colOff>
      <xdr:row>36</xdr:row>
      <xdr:rowOff>65103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0603F89-A151-4C62-A75D-B605ACFF5FFC}"/>
            </a:ext>
          </a:extLst>
        </xdr:cNvPr>
        <xdr:cNvSpPr txBox="1"/>
      </xdr:nvSpPr>
      <xdr:spPr>
        <a:xfrm>
          <a:off x="4706030" y="4833777"/>
          <a:ext cx="3161620" cy="32513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If we want to use the classical approach in Excel modeling of LP, we have to write the model on the left in the form of the right one.</a:t>
          </a:r>
        </a:p>
        <a:p>
          <a:r>
            <a:rPr lang="en-CA" sz="1100"/>
            <a:t>This is necessary to make sure all decision variables are on the LHS of constraints, and only numbers</a:t>
          </a:r>
          <a:r>
            <a:rPr lang="en-CA" sz="1100" baseline="0"/>
            <a:t> are on the RHS.</a:t>
          </a:r>
        </a:p>
        <a:p>
          <a:endParaRPr lang="en-CA" sz="1100" baseline="0"/>
        </a:p>
        <a:p>
          <a:r>
            <a:rPr lang="en-CA" sz="1100" baseline="0"/>
            <a:t>Now you decide! is this more efficient than the modeling I introduced in the previous sheet?</a:t>
          </a:r>
        </a:p>
        <a:p>
          <a:endParaRPr lang="en-CA" sz="1100" baseline="0"/>
        </a:p>
        <a:p>
          <a:r>
            <a:rPr lang="en-CA" sz="1100" baseline="0"/>
            <a:t>Also think abour generalizability. Which modelling can be used for similar problems?</a:t>
          </a:r>
          <a:endParaRPr lang="en-CA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ajid_taghavi_smu_ca/Documents/A%20Teaching/Mac/2014%20-%20Summer%20-%203QA3/Class%20Excel%20files/Class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wer Report 1"/>
      <sheetName val="Sensitivity Report 1"/>
      <sheetName val="Sheet1"/>
      <sheetName val="Table &amp; Chair Example"/>
      <sheetName val="Answer Report- T&amp;C Example "/>
      <sheetName val="Minimization Example"/>
      <sheetName val="Answer Report for minimization "/>
    </sheetNames>
    <sheetDataSet>
      <sheetData sheetId="0" refreshError="1"/>
      <sheetData sheetId="1" refreshError="1"/>
      <sheetData sheetId="2">
        <row r="5">
          <cell r="B5">
            <v>1</v>
          </cell>
          <cell r="C5">
            <v>1</v>
          </cell>
        </row>
        <row r="8">
          <cell r="B8">
            <v>3</v>
          </cell>
          <cell r="C8">
            <v>4</v>
          </cell>
        </row>
        <row r="9">
          <cell r="B9">
            <v>2</v>
          </cell>
          <cell r="C9">
            <v>1</v>
          </cell>
        </row>
        <row r="10">
          <cell r="C10">
            <v>1</v>
          </cell>
        </row>
        <row r="11">
          <cell r="B11">
            <v>1</v>
          </cell>
        </row>
      </sheetData>
      <sheetData sheetId="3">
        <row r="4">
          <cell r="B4">
            <v>320</v>
          </cell>
          <cell r="C4">
            <v>360</v>
          </cell>
        </row>
        <row r="5">
          <cell r="B5">
            <v>7</v>
          </cell>
          <cell r="C5">
            <v>5</v>
          </cell>
        </row>
      </sheetData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DA27-70B5-4691-B07C-3D1D99F65031}">
  <dimension ref="A3:J11"/>
  <sheetViews>
    <sheetView workbookViewId="0">
      <selection activeCell="I15" sqref="I15"/>
    </sheetView>
  </sheetViews>
  <sheetFormatPr baseColWidth="10" defaultColWidth="8.83203125" defaultRowHeight="15" x14ac:dyDescent="0.2"/>
  <cols>
    <col min="1" max="1" width="26.33203125" customWidth="1"/>
    <col min="2" max="10" width="9.1640625" style="2"/>
  </cols>
  <sheetData>
    <row r="3" spans="1:6" x14ac:dyDescent="0.2">
      <c r="B3" s="2" t="s">
        <v>0</v>
      </c>
      <c r="C3" s="2" t="s">
        <v>1</v>
      </c>
    </row>
    <row r="4" spans="1:6" x14ac:dyDescent="0.2">
      <c r="B4" s="2" t="s">
        <v>3</v>
      </c>
      <c r="C4" s="2" t="s">
        <v>2</v>
      </c>
    </row>
    <row r="5" spans="1:6" x14ac:dyDescent="0.2">
      <c r="A5" t="s">
        <v>4</v>
      </c>
      <c r="B5" s="3">
        <v>320</v>
      </c>
      <c r="C5" s="3">
        <v>360</v>
      </c>
    </row>
    <row r="6" spans="1:6" x14ac:dyDescent="0.2">
      <c r="A6" t="s">
        <v>5</v>
      </c>
      <c r="B6" s="2">
        <v>7</v>
      </c>
      <c r="C6" s="2">
        <v>5</v>
      </c>
      <c r="D6" s="13">
        <f>SUMPRODUCT(B5:C5,B6:C6)</f>
        <v>4040</v>
      </c>
    </row>
    <row r="7" spans="1:6" ht="30" customHeight="1" thickBot="1" x14ac:dyDescent="0.25">
      <c r="A7" t="s">
        <v>6</v>
      </c>
      <c r="D7" s="1" t="s">
        <v>13</v>
      </c>
      <c r="E7" s="1" t="s">
        <v>14</v>
      </c>
      <c r="F7" s="1" t="s">
        <v>15</v>
      </c>
    </row>
    <row r="8" spans="1:6" x14ac:dyDescent="0.2">
      <c r="A8" s="4" t="s">
        <v>7</v>
      </c>
      <c r="B8" s="5">
        <v>3</v>
      </c>
      <c r="C8" s="5">
        <v>4</v>
      </c>
      <c r="D8" s="5">
        <f>SUMPRODUCT($B$5:$C$5,B8:C8)</f>
        <v>2400</v>
      </c>
      <c r="E8" s="5" t="s">
        <v>11</v>
      </c>
      <c r="F8" s="6">
        <v>2400</v>
      </c>
    </row>
    <row r="9" spans="1:6" x14ac:dyDescent="0.2">
      <c r="A9" s="7" t="s">
        <v>8</v>
      </c>
      <c r="B9" s="2">
        <v>2</v>
      </c>
      <c r="C9" s="2">
        <v>1</v>
      </c>
      <c r="D9" s="2">
        <f t="shared" ref="D9:D11" si="0">SUMPRODUCT($B$5:$C$5,B9:C9)</f>
        <v>1000</v>
      </c>
      <c r="E9" s="2" t="s">
        <v>11</v>
      </c>
      <c r="F9" s="8">
        <v>1000</v>
      </c>
    </row>
    <row r="10" spans="1:6" x14ac:dyDescent="0.2">
      <c r="A10" s="7" t="s">
        <v>9</v>
      </c>
      <c r="C10" s="2">
        <v>1</v>
      </c>
      <c r="D10" s="2">
        <f t="shared" si="0"/>
        <v>360</v>
      </c>
      <c r="E10" s="2" t="s">
        <v>11</v>
      </c>
      <c r="F10" s="9">
        <v>450</v>
      </c>
    </row>
    <row r="11" spans="1:6" ht="16" thickBot="1" x14ac:dyDescent="0.25">
      <c r="A11" s="10" t="s">
        <v>10</v>
      </c>
      <c r="B11" s="11">
        <v>1</v>
      </c>
      <c r="C11" s="11"/>
      <c r="D11" s="11">
        <f t="shared" si="0"/>
        <v>320</v>
      </c>
      <c r="E11" s="11" t="s">
        <v>12</v>
      </c>
      <c r="F11" s="1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042F-063C-4B65-8B05-F2027AD7162D}">
  <dimension ref="A3:L15"/>
  <sheetViews>
    <sheetView zoomScale="115" zoomScaleNormal="115" workbookViewId="0">
      <selection activeCell="H10" sqref="H10"/>
    </sheetView>
  </sheetViews>
  <sheetFormatPr baseColWidth="10" defaultColWidth="8.83203125" defaultRowHeight="15" x14ac:dyDescent="0.2"/>
  <cols>
    <col min="1" max="1" width="11" bestFit="1" customWidth="1"/>
    <col min="2" max="2" width="12" bestFit="1" customWidth="1"/>
    <col min="7" max="7" width="12" bestFit="1" customWidth="1"/>
  </cols>
  <sheetData>
    <row r="3" spans="1:12" x14ac:dyDescent="0.2"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/>
      <c r="I3" s="2"/>
      <c r="J3" s="2"/>
      <c r="K3" s="2"/>
      <c r="L3" s="2"/>
    </row>
    <row r="4" spans="1:12" x14ac:dyDescent="0.2">
      <c r="B4" s="3">
        <v>0</v>
      </c>
      <c r="C4" s="3">
        <v>0</v>
      </c>
      <c r="D4" s="3">
        <v>1360000.0000000014</v>
      </c>
      <c r="E4" s="3">
        <v>375000</v>
      </c>
      <c r="F4" s="3">
        <v>0</v>
      </c>
      <c r="G4" s="3">
        <v>0</v>
      </c>
      <c r="H4" s="2"/>
      <c r="I4" s="2"/>
      <c r="J4" s="2"/>
      <c r="K4" s="2"/>
      <c r="L4" s="2"/>
    </row>
    <row r="5" spans="1:12" x14ac:dyDescent="0.2">
      <c r="A5" t="s">
        <v>51</v>
      </c>
      <c r="B5" s="2">
        <v>1.7</v>
      </c>
      <c r="C5" s="2">
        <v>1.2</v>
      </c>
      <c r="D5" s="2">
        <v>0.78</v>
      </c>
      <c r="E5" s="2">
        <v>1.8</v>
      </c>
      <c r="F5" s="2">
        <v>1.3</v>
      </c>
      <c r="G5" s="2">
        <v>0.75</v>
      </c>
      <c r="H5" s="13">
        <f>SUMPRODUCT(B4:G4,B5:G5)</f>
        <v>1735800.0000000012</v>
      </c>
      <c r="I5" s="2"/>
      <c r="J5" s="2"/>
      <c r="K5" s="2"/>
      <c r="L5" s="2"/>
    </row>
    <row r="6" spans="1:12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6" thickBot="1" x14ac:dyDescent="0.25">
      <c r="A8" t="s">
        <v>52</v>
      </c>
      <c r="B8" s="2"/>
      <c r="C8" s="2"/>
      <c r="D8" s="2"/>
      <c r="E8" s="2"/>
      <c r="F8" s="2"/>
      <c r="G8" s="2"/>
      <c r="H8" s="2" t="s">
        <v>13</v>
      </c>
      <c r="I8" s="2"/>
      <c r="J8" s="2" t="s">
        <v>15</v>
      </c>
      <c r="K8" s="2"/>
      <c r="L8" s="2"/>
    </row>
    <row r="9" spans="1:12" x14ac:dyDescent="0.2">
      <c r="A9" s="4" t="s">
        <v>53</v>
      </c>
      <c r="B9" s="5">
        <f>1/3000</f>
        <v>3.3333333333333332E-4</v>
      </c>
      <c r="C9" s="5">
        <f>1/1000</f>
        <v>1E-3</v>
      </c>
      <c r="D9" s="5">
        <f>1/8000</f>
        <v>1.25E-4</v>
      </c>
      <c r="E9" s="5"/>
      <c r="F9" s="5"/>
      <c r="G9" s="5"/>
      <c r="H9" s="5">
        <f>SUMPRODUCT(B9:G9,$B$4:$G$4)</f>
        <v>170.00000000000017</v>
      </c>
      <c r="I9" s="5" t="s">
        <v>11</v>
      </c>
      <c r="J9" s="17">
        <v>170</v>
      </c>
      <c r="K9" s="2"/>
      <c r="L9" s="2"/>
    </row>
    <row r="10" spans="1:12" ht="16" thickBot="1" x14ac:dyDescent="0.25">
      <c r="A10" s="10" t="s">
        <v>54</v>
      </c>
      <c r="B10" s="11"/>
      <c r="C10" s="11"/>
      <c r="D10" s="11"/>
      <c r="E10" s="11">
        <f>1/2500</f>
        <v>4.0000000000000002E-4</v>
      </c>
      <c r="F10" s="11">
        <f>1/800</f>
        <v>1.25E-3</v>
      </c>
      <c r="G10" s="11">
        <f>1/6000</f>
        <v>1.6666666666666666E-4</v>
      </c>
      <c r="H10" s="11">
        <f>SUMPRODUCT(B10:G10,$B$4:$G$4)</f>
        <v>150</v>
      </c>
      <c r="I10" s="11" t="s">
        <v>11</v>
      </c>
      <c r="J10" s="12">
        <v>150</v>
      </c>
      <c r="K10" s="2"/>
      <c r="L10" s="2"/>
    </row>
    <row r="11" spans="1:12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6DC2-F5BB-4780-91D6-5FBA97A44F8B}">
  <sheetPr>
    <tabColor theme="5" tint="-0.249977111117893"/>
    <pageSetUpPr fitToPage="1"/>
  </sheetPr>
  <dimension ref="A2:H11"/>
  <sheetViews>
    <sheetView zoomScale="115" zoomScaleNormal="115" zoomScaleSheetLayoutView="85" workbookViewId="0">
      <selection activeCell="D10" sqref="D10:D11"/>
    </sheetView>
  </sheetViews>
  <sheetFormatPr baseColWidth="10" defaultColWidth="9.1640625" defaultRowHeight="15" x14ac:dyDescent="0.2"/>
  <cols>
    <col min="1" max="1" width="17.1640625" style="2" customWidth="1"/>
    <col min="2" max="2" width="23.5" style="2" customWidth="1"/>
    <col min="3" max="3" width="15.33203125" style="2" customWidth="1"/>
    <col min="4" max="4" width="12.6640625" style="2" customWidth="1"/>
    <col min="5" max="5" width="17.6640625" style="2" customWidth="1"/>
    <col min="6" max="6" width="20.33203125" style="2" customWidth="1"/>
    <col min="7" max="7" width="15.6640625" style="2" customWidth="1"/>
    <col min="8" max="8" width="26.33203125" style="2" customWidth="1"/>
    <col min="9" max="16384" width="9.1640625" style="2"/>
  </cols>
  <sheetData>
    <row r="2" spans="1:8" ht="16" x14ac:dyDescent="0.2">
      <c r="A2" s="95" t="s">
        <v>27</v>
      </c>
      <c r="B2" s="25" t="s">
        <v>28</v>
      </c>
      <c r="C2" s="25" t="s">
        <v>29</v>
      </c>
      <c r="D2" s="95" t="s">
        <v>30</v>
      </c>
      <c r="E2" s="101" t="s">
        <v>31</v>
      </c>
      <c r="F2" s="101" t="s">
        <v>32</v>
      </c>
      <c r="G2" s="103" t="s">
        <v>33</v>
      </c>
      <c r="H2" s="95" t="s">
        <v>34</v>
      </c>
    </row>
    <row r="3" spans="1:8" ht="21" customHeight="1" x14ac:dyDescent="0.2">
      <c r="A3" s="96"/>
      <c r="B3" s="26" t="s">
        <v>35</v>
      </c>
      <c r="C3" s="27">
        <v>0.25</v>
      </c>
      <c r="D3" s="96"/>
      <c r="E3" s="102"/>
      <c r="F3" s="102"/>
      <c r="G3" s="104"/>
      <c r="H3" s="96"/>
    </row>
    <row r="4" spans="1:8" ht="21" customHeight="1" x14ac:dyDescent="0.2">
      <c r="A4" s="28">
        <v>1</v>
      </c>
      <c r="B4" s="29">
        <v>112500.00000000001</v>
      </c>
      <c r="C4" s="30">
        <f>$B$10*$C$3</f>
        <v>187500</v>
      </c>
      <c r="D4" s="31">
        <v>8.6499999999999994E-2</v>
      </c>
      <c r="E4" s="32">
        <v>11</v>
      </c>
      <c r="F4" s="32">
        <f t="shared" ref="F4:F9" si="0">IF(E4&gt;=10,1,0)</f>
        <v>1</v>
      </c>
      <c r="G4" s="32" t="s">
        <v>36</v>
      </c>
      <c r="H4" s="28">
        <v>0</v>
      </c>
    </row>
    <row r="5" spans="1:8" ht="21" customHeight="1" x14ac:dyDescent="0.2">
      <c r="A5" s="28">
        <v>2</v>
      </c>
      <c r="B5" s="29">
        <v>74999.999999999971</v>
      </c>
      <c r="C5" s="30">
        <f>$B$10*$C$3</f>
        <v>187500</v>
      </c>
      <c r="D5" s="31">
        <v>9.5000000000000001E-2</v>
      </c>
      <c r="E5" s="32">
        <v>10</v>
      </c>
      <c r="F5" s="32">
        <f t="shared" si="0"/>
        <v>1</v>
      </c>
      <c r="G5" s="32" t="s">
        <v>37</v>
      </c>
      <c r="H5" s="28">
        <v>1</v>
      </c>
    </row>
    <row r="6" spans="1:8" ht="21" customHeight="1" x14ac:dyDescent="0.2">
      <c r="A6" s="28">
        <v>3</v>
      </c>
      <c r="B6" s="29">
        <v>187499.99999999997</v>
      </c>
      <c r="C6" s="30">
        <f>$B$10*$C$3</f>
        <v>187500</v>
      </c>
      <c r="D6" s="31">
        <v>0.1</v>
      </c>
      <c r="E6" s="32">
        <v>6</v>
      </c>
      <c r="F6" s="32">
        <f t="shared" si="0"/>
        <v>0</v>
      </c>
      <c r="G6" s="32" t="s">
        <v>38</v>
      </c>
      <c r="H6" s="28">
        <v>1</v>
      </c>
    </row>
    <row r="7" spans="1:8" ht="21" customHeight="1" x14ac:dyDescent="0.2">
      <c r="A7" s="28">
        <v>4</v>
      </c>
      <c r="B7" s="29">
        <v>187499.99999999997</v>
      </c>
      <c r="C7" s="30">
        <f t="shared" ref="C7:C9" si="1">$B$10*$C$3</f>
        <v>187500</v>
      </c>
      <c r="D7" s="31">
        <v>8.7499999999999994E-2</v>
      </c>
      <c r="E7" s="32">
        <v>10</v>
      </c>
      <c r="F7" s="32">
        <f t="shared" si="0"/>
        <v>1</v>
      </c>
      <c r="G7" s="32" t="s">
        <v>36</v>
      </c>
      <c r="H7" s="28">
        <v>0</v>
      </c>
    </row>
    <row r="8" spans="1:8" ht="21" customHeight="1" x14ac:dyDescent="0.2">
      <c r="A8" s="28">
        <v>5</v>
      </c>
      <c r="B8" s="29">
        <v>0</v>
      </c>
      <c r="C8" s="30">
        <f>$B$10*$C$3</f>
        <v>187500</v>
      </c>
      <c r="D8" s="31">
        <v>9.2499999999999999E-2</v>
      </c>
      <c r="E8" s="32">
        <v>7</v>
      </c>
      <c r="F8" s="32">
        <f t="shared" si="0"/>
        <v>0</v>
      </c>
      <c r="G8" s="32" t="s">
        <v>37</v>
      </c>
      <c r="H8" s="28">
        <v>1</v>
      </c>
    </row>
    <row r="9" spans="1:8" ht="21" customHeight="1" x14ac:dyDescent="0.2">
      <c r="A9" s="28">
        <v>6</v>
      </c>
      <c r="B9" s="29">
        <v>187499.99999999997</v>
      </c>
      <c r="C9" s="30">
        <f t="shared" si="1"/>
        <v>187500</v>
      </c>
      <c r="D9" s="31">
        <v>0.09</v>
      </c>
      <c r="E9" s="32">
        <v>13</v>
      </c>
      <c r="F9" s="32">
        <f t="shared" si="0"/>
        <v>1</v>
      </c>
      <c r="G9" s="32" t="s">
        <v>39</v>
      </c>
      <c r="H9" s="28">
        <v>0</v>
      </c>
    </row>
    <row r="10" spans="1:8" ht="20.25" customHeight="1" x14ac:dyDescent="0.2">
      <c r="A10" s="33" t="s">
        <v>40</v>
      </c>
      <c r="B10" s="34">
        <f>SUM(B4:B9)</f>
        <v>750000</v>
      </c>
      <c r="C10" s="97" t="s">
        <v>22</v>
      </c>
      <c r="D10" s="99">
        <f>SUMPRODUCT(B4:B9,D4:D9)</f>
        <v>68887.499999999985</v>
      </c>
      <c r="E10" s="35" t="s">
        <v>41</v>
      </c>
      <c r="F10" s="36" cm="1">
        <f t="array" ref="F10">SUMPRODUCT(F4:F9*B4:B9)</f>
        <v>562500</v>
      </c>
      <c r="G10" s="37" t="s">
        <v>41</v>
      </c>
      <c r="H10" s="38">
        <f>SUMPRODUCT(B4:B9*H4:H9)</f>
        <v>262499.99999999994</v>
      </c>
    </row>
    <row r="11" spans="1:8" ht="48.75" customHeight="1" x14ac:dyDescent="0.2">
      <c r="A11" s="39" t="s">
        <v>42</v>
      </c>
      <c r="B11" s="40">
        <v>750000</v>
      </c>
      <c r="C11" s="98"/>
      <c r="D11" s="100"/>
      <c r="E11" s="41" t="s">
        <v>43</v>
      </c>
      <c r="F11" s="42">
        <f>B10*0.5</f>
        <v>375000</v>
      </c>
      <c r="G11" s="43" t="s">
        <v>44</v>
      </c>
      <c r="H11" s="44">
        <f>0.35*B10</f>
        <v>262500</v>
      </c>
    </row>
  </sheetData>
  <mergeCells count="8">
    <mergeCell ref="H2:H3"/>
    <mergeCell ref="C10:C11"/>
    <mergeCell ref="D10:D11"/>
    <mergeCell ref="A2:A3"/>
    <mergeCell ref="D2:D3"/>
    <mergeCell ref="E2:E3"/>
    <mergeCell ref="F2:F3"/>
    <mergeCell ref="G2:G3"/>
  </mergeCells>
  <pageMargins left="0.25" right="0.25" top="0.75" bottom="0.75" header="0.3" footer="0.3"/>
  <pageSetup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57AB-09CE-47F1-BCEF-5D1C72C09841}">
  <dimension ref="A3:J17"/>
  <sheetViews>
    <sheetView zoomScale="150" zoomScaleNormal="150" workbookViewId="0">
      <selection activeCell="J5" sqref="J5"/>
    </sheetView>
  </sheetViews>
  <sheetFormatPr baseColWidth="10" defaultColWidth="8.83203125" defaultRowHeight="15" x14ac:dyDescent="0.2"/>
  <cols>
    <col min="1" max="1" width="24.33203125" bestFit="1" customWidth="1"/>
    <col min="2" max="2" width="12.5" bestFit="1" customWidth="1"/>
    <col min="3" max="3" width="11.5" bestFit="1" customWidth="1"/>
    <col min="4" max="5" width="12.5" bestFit="1" customWidth="1"/>
    <col min="6" max="6" width="9.33203125" bestFit="1" customWidth="1"/>
    <col min="7" max="7" width="12.5" bestFit="1" customWidth="1"/>
    <col min="10" max="10" width="12.33203125" bestFit="1" customWidth="1"/>
  </cols>
  <sheetData>
    <row r="3" spans="1:10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/>
      <c r="I3" s="2"/>
      <c r="J3" s="2"/>
    </row>
    <row r="4" spans="1:10" x14ac:dyDescent="0.2">
      <c r="B4" s="14">
        <v>112500.00000000001</v>
      </c>
      <c r="C4" s="14">
        <v>75000</v>
      </c>
      <c r="D4" s="14">
        <v>187500</v>
      </c>
      <c r="E4" s="14">
        <v>187500</v>
      </c>
      <c r="F4" s="14">
        <v>0</v>
      </c>
      <c r="G4" s="14">
        <v>187500</v>
      </c>
      <c r="H4" s="2"/>
      <c r="I4" s="2"/>
      <c r="J4" s="2"/>
    </row>
    <row r="5" spans="1:10" ht="16" x14ac:dyDescent="0.2">
      <c r="B5" s="15">
        <v>8.6499999999999994E-2</v>
      </c>
      <c r="C5" s="15">
        <v>9.5000000000000001E-2</v>
      </c>
      <c r="D5" s="15">
        <v>0.1</v>
      </c>
      <c r="E5" s="15">
        <v>8.7499999999999994E-2</v>
      </c>
      <c r="F5" s="15">
        <v>9.2499999999999999E-2</v>
      </c>
      <c r="G5" s="15">
        <v>0.09</v>
      </c>
      <c r="H5" s="2"/>
      <c r="I5" s="2" t="s">
        <v>22</v>
      </c>
      <c r="J5" s="16">
        <f>SUMPRODUCT(B4:G4,B5:G5)</f>
        <v>68887.5</v>
      </c>
    </row>
    <row r="6" spans="1:10" x14ac:dyDescent="0.2">
      <c r="B6" s="2"/>
      <c r="C6" s="2"/>
      <c r="D6" s="2"/>
      <c r="E6" s="2"/>
      <c r="F6" s="2"/>
      <c r="G6" s="2"/>
      <c r="H6" s="2"/>
      <c r="I6" s="2"/>
      <c r="J6" s="2"/>
    </row>
    <row r="7" spans="1:10" ht="16" thickBot="1" x14ac:dyDescent="0.25">
      <c r="B7" s="2"/>
      <c r="C7" s="2"/>
      <c r="D7" s="2"/>
      <c r="E7" s="2"/>
      <c r="F7" s="2"/>
      <c r="G7" s="2"/>
      <c r="H7" s="2" t="s">
        <v>13</v>
      </c>
      <c r="I7" s="2"/>
      <c r="J7" s="2" t="s">
        <v>15</v>
      </c>
    </row>
    <row r="8" spans="1:10" x14ac:dyDescent="0.2">
      <c r="A8" s="4" t="s">
        <v>23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f>SUMPRODUCT($B$4:$G$4,B8:G8)</f>
        <v>750000</v>
      </c>
      <c r="I8" s="5" t="s">
        <v>11</v>
      </c>
      <c r="J8" s="17">
        <v>750000</v>
      </c>
    </row>
    <row r="9" spans="1:10" x14ac:dyDescent="0.2">
      <c r="A9" s="105" t="s">
        <v>24</v>
      </c>
      <c r="B9" s="18">
        <v>0.75</v>
      </c>
      <c r="C9" s="18">
        <v>-0.25</v>
      </c>
      <c r="D9" s="18">
        <v>-0.25</v>
      </c>
      <c r="E9" s="18">
        <v>-0.25</v>
      </c>
      <c r="F9" s="18">
        <v>-0.25</v>
      </c>
      <c r="G9" s="18">
        <v>-0.25</v>
      </c>
      <c r="H9" s="18">
        <f t="shared" ref="H9:H16" si="0">SUMPRODUCT($B$4:$G$4,B9:G9)</f>
        <v>-74999.999999999985</v>
      </c>
      <c r="I9" s="18" t="s">
        <v>11</v>
      </c>
      <c r="J9" s="19">
        <v>0</v>
      </c>
    </row>
    <row r="10" spans="1:10" x14ac:dyDescent="0.2">
      <c r="A10" s="106"/>
      <c r="B10" s="2">
        <v>-0.25</v>
      </c>
      <c r="C10" s="2">
        <v>0.75</v>
      </c>
      <c r="D10" s="2">
        <v>-0.25</v>
      </c>
      <c r="E10" s="2">
        <v>-0.25</v>
      </c>
      <c r="F10" s="2">
        <v>-0.25</v>
      </c>
      <c r="G10" s="2">
        <v>-0.25</v>
      </c>
      <c r="H10" s="2">
        <f t="shared" si="0"/>
        <v>-112500</v>
      </c>
      <c r="I10" s="2" t="s">
        <v>11</v>
      </c>
      <c r="J10" s="9">
        <v>0</v>
      </c>
    </row>
    <row r="11" spans="1:10" x14ac:dyDescent="0.2">
      <c r="A11" s="106"/>
      <c r="B11" s="2">
        <v>-0.25</v>
      </c>
      <c r="C11" s="2">
        <v>-0.25</v>
      </c>
      <c r="D11" s="2">
        <v>0.75</v>
      </c>
      <c r="E11" s="2">
        <v>-0.25</v>
      </c>
      <c r="F11" s="2">
        <v>-0.25</v>
      </c>
      <c r="G11" s="2">
        <v>-0.25</v>
      </c>
      <c r="H11" s="2">
        <f t="shared" si="0"/>
        <v>0</v>
      </c>
      <c r="I11" s="2" t="s">
        <v>11</v>
      </c>
      <c r="J11" s="9">
        <v>0</v>
      </c>
    </row>
    <row r="12" spans="1:10" x14ac:dyDescent="0.2">
      <c r="A12" s="106"/>
      <c r="B12" s="2">
        <v>-0.25</v>
      </c>
      <c r="C12" s="2">
        <v>-0.25</v>
      </c>
      <c r="D12" s="2">
        <v>-0.25</v>
      </c>
      <c r="E12" s="2">
        <v>0.75</v>
      </c>
      <c r="F12" s="2">
        <v>-0.25</v>
      </c>
      <c r="G12" s="2">
        <v>-0.25</v>
      </c>
      <c r="H12" s="2">
        <f t="shared" si="0"/>
        <v>0</v>
      </c>
      <c r="I12" s="2" t="s">
        <v>11</v>
      </c>
      <c r="J12" s="9">
        <v>0</v>
      </c>
    </row>
    <row r="13" spans="1:10" x14ac:dyDescent="0.2">
      <c r="A13" s="106"/>
      <c r="B13" s="2">
        <v>-0.25</v>
      </c>
      <c r="C13" s="2">
        <v>-0.25</v>
      </c>
      <c r="D13" s="2">
        <v>-0.25</v>
      </c>
      <c r="E13" s="2">
        <v>-0.25</v>
      </c>
      <c r="F13" s="2">
        <v>0.75</v>
      </c>
      <c r="G13" s="2">
        <v>-0.25</v>
      </c>
      <c r="H13" s="2">
        <f t="shared" si="0"/>
        <v>-187500</v>
      </c>
      <c r="I13" s="2" t="s">
        <v>11</v>
      </c>
      <c r="J13" s="9">
        <v>0</v>
      </c>
    </row>
    <row r="14" spans="1:10" x14ac:dyDescent="0.2">
      <c r="A14" s="107"/>
      <c r="B14" s="20">
        <v>-0.25</v>
      </c>
      <c r="C14" s="20">
        <v>-0.25</v>
      </c>
      <c r="D14" s="20">
        <v>-0.25</v>
      </c>
      <c r="E14" s="20">
        <v>-0.25</v>
      </c>
      <c r="F14" s="20">
        <v>-0.25</v>
      </c>
      <c r="G14" s="20">
        <v>0.75</v>
      </c>
      <c r="H14" s="20">
        <f t="shared" si="0"/>
        <v>0</v>
      </c>
      <c r="I14" s="20" t="s">
        <v>11</v>
      </c>
      <c r="J14" s="21">
        <v>0</v>
      </c>
    </row>
    <row r="15" spans="1:10" x14ac:dyDescent="0.2">
      <c r="A15" s="22" t="s">
        <v>25</v>
      </c>
      <c r="B15" s="23">
        <v>0.5</v>
      </c>
      <c r="C15" s="23">
        <v>0.5</v>
      </c>
      <c r="D15" s="23">
        <v>-0.5</v>
      </c>
      <c r="E15" s="23">
        <v>0.5</v>
      </c>
      <c r="F15" s="23">
        <v>-0.5</v>
      </c>
      <c r="G15" s="23">
        <v>0.5</v>
      </c>
      <c r="H15" s="23">
        <f t="shared" si="0"/>
        <v>187500</v>
      </c>
      <c r="I15" s="23" t="s">
        <v>12</v>
      </c>
      <c r="J15" s="24">
        <v>0</v>
      </c>
    </row>
    <row r="16" spans="1:10" ht="16" thickBot="1" x14ac:dyDescent="0.25">
      <c r="A16" s="10" t="s">
        <v>26</v>
      </c>
      <c r="B16" s="11">
        <v>-0.35</v>
      </c>
      <c r="C16" s="11">
        <v>0.65</v>
      </c>
      <c r="D16" s="11">
        <v>0.65</v>
      </c>
      <c r="E16" s="11">
        <v>-0.35</v>
      </c>
      <c r="F16" s="11">
        <v>0.65</v>
      </c>
      <c r="G16" s="11">
        <v>-0.35</v>
      </c>
      <c r="H16" s="11">
        <f t="shared" si="0"/>
        <v>0</v>
      </c>
      <c r="I16" s="11" t="s">
        <v>11</v>
      </c>
      <c r="J16" s="12">
        <v>0</v>
      </c>
    </row>
    <row r="17" ht="104.25" customHeight="1" x14ac:dyDescent="0.2"/>
  </sheetData>
  <mergeCells count="1">
    <mergeCell ref="A9:A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7B52-8D63-274F-A9B1-39AEB248C6C1}">
  <sheetPr>
    <tabColor rgb="FFFFFF00"/>
  </sheetPr>
  <dimension ref="A5:J27"/>
  <sheetViews>
    <sheetView topLeftCell="A2" zoomScale="160" zoomScaleNormal="160" workbookViewId="0">
      <selection activeCell="C7" sqref="C7"/>
    </sheetView>
  </sheetViews>
  <sheetFormatPr baseColWidth="10" defaultColWidth="9.1640625" defaultRowHeight="15" x14ac:dyDescent="0.2"/>
  <cols>
    <col min="1" max="1" width="28.5" style="2" bestFit="1" customWidth="1"/>
    <col min="2" max="2" width="14.33203125" style="2" bestFit="1" customWidth="1"/>
    <col min="3" max="3" width="9" style="2" bestFit="1" customWidth="1"/>
    <col min="4" max="6" width="10.1640625" style="2" bestFit="1" customWidth="1"/>
    <col min="7" max="7" width="9.1640625" style="2" bestFit="1" customWidth="1"/>
    <col min="8" max="8" width="9.1640625" style="2"/>
    <col min="9" max="9" width="11.5" style="2" bestFit="1" customWidth="1"/>
    <col min="10" max="16384" width="9.1640625" style="2"/>
  </cols>
  <sheetData>
    <row r="5" spans="1:7" x14ac:dyDescent="0.2">
      <c r="B5" s="108" t="s">
        <v>59</v>
      </c>
      <c r="C5" s="109"/>
      <c r="D5" s="109"/>
      <c r="E5" s="109"/>
      <c r="F5" s="109"/>
      <c r="G5" s="110"/>
    </row>
    <row r="6" spans="1:7" x14ac:dyDescent="0.2">
      <c r="B6" s="68">
        <v>1</v>
      </c>
      <c r="C6" s="20">
        <v>2</v>
      </c>
      <c r="D6" s="20">
        <v>3</v>
      </c>
      <c r="E6" s="20">
        <v>4</v>
      </c>
      <c r="F6" s="20">
        <v>5</v>
      </c>
      <c r="G6" s="69">
        <v>6</v>
      </c>
    </row>
    <row r="7" spans="1:7" x14ac:dyDescent="0.2">
      <c r="A7" s="76" t="s">
        <v>60</v>
      </c>
      <c r="B7" s="77">
        <v>275</v>
      </c>
      <c r="C7" s="78">
        <f>B10</f>
        <v>575</v>
      </c>
      <c r="D7" s="78">
        <f>C10</f>
        <v>475</v>
      </c>
      <c r="E7" s="78">
        <f>D10</f>
        <v>275</v>
      </c>
      <c r="F7" s="78">
        <f>E10</f>
        <v>150</v>
      </c>
      <c r="G7" s="79">
        <f>F10</f>
        <v>200</v>
      </c>
    </row>
    <row r="8" spans="1:7" x14ac:dyDescent="0.2">
      <c r="A8" s="76" t="s">
        <v>61</v>
      </c>
      <c r="B8" s="80">
        <v>400</v>
      </c>
      <c r="C8" s="81">
        <v>350</v>
      </c>
      <c r="D8" s="81">
        <v>400</v>
      </c>
      <c r="E8" s="81">
        <v>425</v>
      </c>
      <c r="F8" s="81">
        <v>400</v>
      </c>
      <c r="G8" s="82">
        <v>350</v>
      </c>
    </row>
    <row r="9" spans="1:7" x14ac:dyDescent="0.2">
      <c r="A9" s="76" t="s">
        <v>62</v>
      </c>
      <c r="B9" s="77">
        <v>100</v>
      </c>
      <c r="C9" s="78">
        <v>450</v>
      </c>
      <c r="D9" s="78">
        <v>600</v>
      </c>
      <c r="E9" s="78">
        <v>550</v>
      </c>
      <c r="F9" s="78">
        <v>350</v>
      </c>
      <c r="G9" s="79">
        <v>400</v>
      </c>
    </row>
    <row r="10" spans="1:7" x14ac:dyDescent="0.2">
      <c r="A10" s="76" t="s">
        <v>63</v>
      </c>
      <c r="B10" s="77">
        <f>B7+B8-B9</f>
        <v>575</v>
      </c>
      <c r="C10" s="78">
        <f t="shared" ref="C10:G10" si="0">C7+C8-C9</f>
        <v>475</v>
      </c>
      <c r="D10" s="78">
        <f t="shared" si="0"/>
        <v>275</v>
      </c>
      <c r="E10" s="78">
        <f t="shared" si="0"/>
        <v>150</v>
      </c>
      <c r="F10" s="78">
        <f t="shared" si="0"/>
        <v>200</v>
      </c>
      <c r="G10" s="79">
        <f t="shared" si="0"/>
        <v>150</v>
      </c>
    </row>
    <row r="11" spans="1:7" x14ac:dyDescent="0.2">
      <c r="A11" s="76"/>
      <c r="B11" s="77"/>
      <c r="C11" s="78"/>
      <c r="D11" s="78"/>
      <c r="E11" s="78"/>
      <c r="F11" s="78"/>
      <c r="G11" s="79"/>
    </row>
    <row r="12" spans="1:7" x14ac:dyDescent="0.2">
      <c r="A12" s="76" t="s">
        <v>64</v>
      </c>
      <c r="B12" s="83">
        <v>400</v>
      </c>
      <c r="C12" s="84">
        <v>350</v>
      </c>
      <c r="D12" s="84">
        <v>400</v>
      </c>
      <c r="E12" s="84">
        <v>450</v>
      </c>
      <c r="F12" s="84">
        <v>400</v>
      </c>
      <c r="G12" s="85">
        <v>350</v>
      </c>
    </row>
    <row r="13" spans="1:7" x14ac:dyDescent="0.2">
      <c r="A13" s="76" t="s">
        <v>65</v>
      </c>
      <c r="B13" s="83">
        <f t="shared" ref="B13:G13" si="1">B12*0.5</f>
        <v>200</v>
      </c>
      <c r="C13" s="84">
        <f t="shared" si="1"/>
        <v>175</v>
      </c>
      <c r="D13" s="84">
        <f t="shared" si="1"/>
        <v>200</v>
      </c>
      <c r="E13" s="84">
        <f t="shared" si="1"/>
        <v>225</v>
      </c>
      <c r="F13" s="84">
        <f t="shared" si="1"/>
        <v>200</v>
      </c>
      <c r="G13" s="85">
        <f t="shared" si="1"/>
        <v>175</v>
      </c>
    </row>
    <row r="14" spans="1:7" x14ac:dyDescent="0.2">
      <c r="A14" s="76"/>
      <c r="B14" s="77"/>
      <c r="C14" s="78"/>
      <c r="D14" s="78"/>
      <c r="E14" s="78"/>
      <c r="F14" s="78"/>
      <c r="G14" s="79"/>
    </row>
    <row r="15" spans="1:7" x14ac:dyDescent="0.2">
      <c r="A15" s="76" t="s">
        <v>66</v>
      </c>
      <c r="B15" s="77">
        <v>150</v>
      </c>
      <c r="C15" s="78">
        <v>150</v>
      </c>
      <c r="D15" s="78">
        <v>150</v>
      </c>
      <c r="E15" s="78">
        <v>150</v>
      </c>
      <c r="F15" s="78">
        <v>150</v>
      </c>
      <c r="G15" s="79">
        <v>150</v>
      </c>
    </row>
    <row r="16" spans="1:7" x14ac:dyDescent="0.2">
      <c r="A16" s="76" t="s">
        <v>67</v>
      </c>
      <c r="B16" s="77">
        <v>600</v>
      </c>
      <c r="C16" s="78">
        <v>600</v>
      </c>
      <c r="D16" s="78">
        <v>600</v>
      </c>
      <c r="E16" s="78">
        <v>600</v>
      </c>
      <c r="F16" s="78">
        <v>600</v>
      </c>
      <c r="G16" s="79">
        <v>600</v>
      </c>
    </row>
    <row r="17" spans="1:10" x14ac:dyDescent="0.2">
      <c r="A17" s="76"/>
      <c r="B17" s="77"/>
      <c r="C17" s="78"/>
      <c r="D17" s="78"/>
      <c r="E17" s="78"/>
      <c r="F17" s="78"/>
      <c r="G17" s="79"/>
    </row>
    <row r="18" spans="1:10" x14ac:dyDescent="0.2">
      <c r="A18" s="76" t="s">
        <v>68</v>
      </c>
      <c r="B18" s="50">
        <v>240</v>
      </c>
      <c r="C18" s="51">
        <v>250</v>
      </c>
      <c r="D18" s="51">
        <v>265</v>
      </c>
      <c r="E18" s="51">
        <v>285</v>
      </c>
      <c r="F18" s="51">
        <v>280</v>
      </c>
      <c r="G18" s="52">
        <v>260</v>
      </c>
    </row>
    <row r="19" spans="1:10" x14ac:dyDescent="0.2">
      <c r="A19" s="76" t="s">
        <v>69</v>
      </c>
      <c r="B19" s="54">
        <v>3.6</v>
      </c>
      <c r="C19" s="53">
        <v>3.75</v>
      </c>
      <c r="D19" s="53">
        <v>3.98</v>
      </c>
      <c r="E19" s="53">
        <v>4.28</v>
      </c>
      <c r="F19" s="53">
        <v>4.2</v>
      </c>
      <c r="G19" s="55">
        <v>3.9</v>
      </c>
    </row>
    <row r="20" spans="1:10" x14ac:dyDescent="0.2">
      <c r="A20" s="76"/>
      <c r="B20" s="77"/>
      <c r="C20" s="78"/>
      <c r="D20" s="78"/>
      <c r="E20" s="78"/>
      <c r="F20" s="78"/>
      <c r="G20" s="79"/>
    </row>
    <row r="21" spans="1:10" x14ac:dyDescent="0.2">
      <c r="A21" s="76" t="s">
        <v>70</v>
      </c>
      <c r="B21" s="50">
        <f t="shared" ref="B21:G21" si="2">B18*B8</f>
        <v>96000</v>
      </c>
      <c r="C21" s="51">
        <f t="shared" si="2"/>
        <v>87500</v>
      </c>
      <c r="D21" s="51">
        <f t="shared" si="2"/>
        <v>106000</v>
      </c>
      <c r="E21" s="51">
        <f t="shared" si="2"/>
        <v>121125</v>
      </c>
      <c r="F21" s="51">
        <f t="shared" si="2"/>
        <v>112000</v>
      </c>
      <c r="G21" s="52">
        <f t="shared" si="2"/>
        <v>91000</v>
      </c>
      <c r="I21" s="86"/>
    </row>
    <row r="22" spans="1:10" x14ac:dyDescent="0.2">
      <c r="A22" s="76" t="s">
        <v>71</v>
      </c>
      <c r="B22" s="87">
        <f>B19*B10</f>
        <v>2070</v>
      </c>
      <c r="C22" s="88">
        <f t="shared" ref="C22:G22" si="3">C19*C10</f>
        <v>1781.25</v>
      </c>
      <c r="D22" s="88">
        <f t="shared" si="3"/>
        <v>1094.5</v>
      </c>
      <c r="E22" s="88">
        <f t="shared" si="3"/>
        <v>642</v>
      </c>
      <c r="F22" s="88">
        <f t="shared" si="3"/>
        <v>840</v>
      </c>
      <c r="G22" s="89">
        <f t="shared" si="3"/>
        <v>585</v>
      </c>
      <c r="I22" s="86"/>
    </row>
    <row r="23" spans="1:10" x14ac:dyDescent="0.2">
      <c r="A23" s="76"/>
      <c r="B23" s="90"/>
      <c r="C23" s="90"/>
      <c r="D23" s="90"/>
      <c r="E23" s="90"/>
      <c r="F23" s="90"/>
      <c r="G23" s="90"/>
    </row>
    <row r="24" spans="1:10" x14ac:dyDescent="0.2">
      <c r="A24" s="76"/>
      <c r="B24" s="90"/>
      <c r="C24" s="90"/>
      <c r="D24" s="90"/>
      <c r="E24" s="90"/>
      <c r="F24" s="90"/>
      <c r="G24" s="90"/>
    </row>
    <row r="25" spans="1:10" x14ac:dyDescent="0.2">
      <c r="A25" s="76" t="s">
        <v>58</v>
      </c>
      <c r="B25" s="16">
        <f>SUM(B21:G22)</f>
        <v>620637.75</v>
      </c>
      <c r="C25" s="90"/>
      <c r="D25" s="90"/>
      <c r="E25" s="90"/>
      <c r="F25" s="90"/>
      <c r="G25" s="90"/>
    </row>
    <row r="27" spans="1:10" x14ac:dyDescent="0.2">
      <c r="A27"/>
      <c r="B27"/>
      <c r="C27"/>
      <c r="D27"/>
      <c r="E27"/>
      <c r="F27"/>
      <c r="G27"/>
      <c r="H27"/>
      <c r="I27"/>
      <c r="J27"/>
    </row>
  </sheetData>
  <mergeCells count="1">
    <mergeCell ref="B5:G5"/>
  </mergeCells>
  <pageMargins left="0.7" right="0.7" top="0.75" bottom="0.75" header="0.3" footer="0.3"/>
  <pageSetup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32CB-266C-4249-A4D1-71F332FE9F46}">
  <dimension ref="A1:P37"/>
  <sheetViews>
    <sheetView tabSelected="1" zoomScale="115" zoomScaleNormal="115" workbookViewId="0">
      <selection activeCell="R8" sqref="R8"/>
    </sheetView>
  </sheetViews>
  <sheetFormatPr baseColWidth="10" defaultColWidth="9.1640625" defaultRowHeight="15" x14ac:dyDescent="0.2"/>
  <cols>
    <col min="1" max="1" width="9.1640625" style="2"/>
    <col min="2" max="7" width="6.83203125" style="2" bestFit="1" customWidth="1"/>
    <col min="8" max="13" width="7.33203125" style="2" bestFit="1" customWidth="1"/>
    <col min="14" max="14" width="13" style="2" customWidth="1"/>
    <col min="15" max="15" width="13.5" style="2" bestFit="1" customWidth="1"/>
    <col min="16" max="16" width="15.33203125" style="2" bestFit="1" customWidth="1"/>
    <col min="17" max="16384" width="9.1640625" style="2"/>
  </cols>
  <sheetData>
    <row r="1" spans="1:16" ht="21" x14ac:dyDescent="0.2">
      <c r="B1" s="120" t="s">
        <v>55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2"/>
    </row>
    <row r="2" spans="1:16" ht="16" x14ac:dyDescent="0.2">
      <c r="B2" s="123" t="s">
        <v>56</v>
      </c>
      <c r="C2" s="124"/>
      <c r="D2" s="124"/>
      <c r="E2" s="124"/>
      <c r="F2" s="124"/>
      <c r="G2" s="125"/>
      <c r="H2" s="124" t="s">
        <v>57</v>
      </c>
      <c r="I2" s="124"/>
      <c r="J2" s="124"/>
      <c r="K2" s="124"/>
      <c r="L2" s="124"/>
      <c r="M2" s="125"/>
    </row>
    <row r="3" spans="1:16" x14ac:dyDescent="0.2">
      <c r="B3" s="45" t="s">
        <v>77</v>
      </c>
      <c r="C3" s="2" t="s">
        <v>78</v>
      </c>
      <c r="D3" s="2" t="s">
        <v>79</v>
      </c>
      <c r="E3" s="2" t="s">
        <v>80</v>
      </c>
      <c r="F3" s="2" t="s">
        <v>81</v>
      </c>
      <c r="G3" s="46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46" t="s">
        <v>88</v>
      </c>
    </row>
    <row r="4" spans="1:16" x14ac:dyDescent="0.2">
      <c r="B4" s="47">
        <v>400</v>
      </c>
      <c r="C4" s="3">
        <v>350</v>
      </c>
      <c r="D4" s="3">
        <v>400</v>
      </c>
      <c r="E4" s="3">
        <v>425</v>
      </c>
      <c r="F4" s="3">
        <v>400</v>
      </c>
      <c r="G4" s="48">
        <v>350</v>
      </c>
      <c r="H4" s="3">
        <v>575</v>
      </c>
      <c r="I4" s="3">
        <v>475</v>
      </c>
      <c r="J4" s="3">
        <v>275</v>
      </c>
      <c r="K4" s="3">
        <v>150</v>
      </c>
      <c r="L4" s="3">
        <v>200</v>
      </c>
      <c r="M4" s="48">
        <v>150</v>
      </c>
      <c r="P4" s="49"/>
    </row>
    <row r="5" spans="1:16" ht="21" x14ac:dyDescent="0.2">
      <c r="B5" s="50">
        <v>240</v>
      </c>
      <c r="C5" s="51">
        <v>250</v>
      </c>
      <c r="D5" s="51">
        <v>265</v>
      </c>
      <c r="E5" s="51">
        <v>285</v>
      </c>
      <c r="F5" s="51">
        <v>280</v>
      </c>
      <c r="G5" s="52">
        <v>260</v>
      </c>
      <c r="H5" s="53">
        <v>3.5999999999999996</v>
      </c>
      <c r="I5" s="53">
        <v>3.75</v>
      </c>
      <c r="J5" s="53">
        <v>3.98</v>
      </c>
      <c r="K5" s="53">
        <v>4.28</v>
      </c>
      <c r="L5" s="53">
        <v>4.2</v>
      </c>
      <c r="M5" s="55">
        <v>3.9</v>
      </c>
      <c r="O5" s="56" t="s">
        <v>58</v>
      </c>
      <c r="P5" s="57">
        <f>SUMPRODUCT(B4:M4,B5:M5)</f>
        <v>620637.75</v>
      </c>
    </row>
    <row r="6" spans="1:16" x14ac:dyDescent="0.2">
      <c r="B6" s="54"/>
      <c r="C6" s="53"/>
      <c r="D6" s="53"/>
      <c r="E6" s="53"/>
      <c r="F6" s="53"/>
      <c r="G6" s="55"/>
      <c r="H6" s="58"/>
      <c r="I6" s="58"/>
      <c r="J6" s="58"/>
      <c r="K6" s="58"/>
      <c r="L6" s="58"/>
      <c r="M6" s="91"/>
      <c r="P6" s="59"/>
    </row>
    <row r="7" spans="1:16" ht="22" thickBot="1" x14ac:dyDescent="0.25">
      <c r="B7" s="92"/>
      <c r="C7" s="93"/>
      <c r="D7" s="93"/>
      <c r="E7" s="93"/>
      <c r="F7" s="93"/>
      <c r="G7" s="94"/>
      <c r="H7" s="93"/>
      <c r="I7" s="93"/>
      <c r="J7" s="93"/>
      <c r="K7" s="93"/>
      <c r="L7" s="93"/>
      <c r="M7" s="94"/>
      <c r="N7" s="62" t="s">
        <v>13</v>
      </c>
      <c r="O7" s="63"/>
      <c r="P7" s="62" t="s">
        <v>15</v>
      </c>
    </row>
    <row r="8" spans="1:16" x14ac:dyDescent="0.2">
      <c r="A8" s="117" t="s">
        <v>72</v>
      </c>
      <c r="B8" s="64">
        <v>1</v>
      </c>
      <c r="C8" s="5"/>
      <c r="D8" s="5"/>
      <c r="E8" s="5"/>
      <c r="F8" s="5"/>
      <c r="G8" s="65"/>
      <c r="H8" s="5"/>
      <c r="I8" s="5"/>
      <c r="J8" s="5"/>
      <c r="K8" s="5"/>
      <c r="L8" s="5"/>
      <c r="M8" s="5"/>
      <c r="N8" s="66">
        <f t="shared" ref="N8:N37" si="0">SUMPRODUCT(B8:M8,$B$4:$M$4)</f>
        <v>400</v>
      </c>
      <c r="O8" s="119" t="s">
        <v>11</v>
      </c>
      <c r="P8" s="17">
        <v>400</v>
      </c>
    </row>
    <row r="9" spans="1:16" x14ac:dyDescent="0.2">
      <c r="A9" s="112"/>
      <c r="B9" s="45"/>
      <c r="C9" s="2">
        <v>1</v>
      </c>
      <c r="G9" s="46"/>
      <c r="N9" s="67">
        <f t="shared" si="0"/>
        <v>350</v>
      </c>
      <c r="O9" s="115"/>
      <c r="P9" s="9">
        <v>350</v>
      </c>
    </row>
    <row r="10" spans="1:16" x14ac:dyDescent="0.2">
      <c r="A10" s="112"/>
      <c r="B10" s="45"/>
      <c r="D10" s="2">
        <v>1</v>
      </c>
      <c r="G10" s="46"/>
      <c r="N10" s="67">
        <f t="shared" si="0"/>
        <v>400</v>
      </c>
      <c r="O10" s="115"/>
      <c r="P10" s="9">
        <v>400</v>
      </c>
    </row>
    <row r="11" spans="1:16" x14ac:dyDescent="0.2">
      <c r="A11" s="112"/>
      <c r="B11" s="45"/>
      <c r="E11" s="2">
        <v>1</v>
      </c>
      <c r="G11" s="46"/>
      <c r="N11" s="67">
        <f t="shared" si="0"/>
        <v>425</v>
      </c>
      <c r="O11" s="115"/>
      <c r="P11" s="9">
        <v>450</v>
      </c>
    </row>
    <row r="12" spans="1:16" x14ac:dyDescent="0.2">
      <c r="A12" s="112"/>
      <c r="B12" s="45"/>
      <c r="F12" s="2">
        <v>1</v>
      </c>
      <c r="G12" s="46"/>
      <c r="N12" s="67">
        <f t="shared" si="0"/>
        <v>400</v>
      </c>
      <c r="O12" s="115"/>
      <c r="P12" s="9">
        <v>400</v>
      </c>
    </row>
    <row r="13" spans="1:16" x14ac:dyDescent="0.2">
      <c r="A13" s="118"/>
      <c r="B13" s="68"/>
      <c r="C13" s="20"/>
      <c r="D13" s="20"/>
      <c r="E13" s="20"/>
      <c r="F13" s="20"/>
      <c r="G13" s="69">
        <v>1</v>
      </c>
      <c r="H13" s="20"/>
      <c r="I13" s="20"/>
      <c r="J13" s="20"/>
      <c r="K13" s="20"/>
      <c r="L13" s="20"/>
      <c r="M13" s="20"/>
      <c r="N13" s="70">
        <f t="shared" si="0"/>
        <v>350</v>
      </c>
      <c r="O13" s="115"/>
      <c r="P13" s="71">
        <v>350</v>
      </c>
    </row>
    <row r="14" spans="1:16" x14ac:dyDescent="0.2">
      <c r="A14" s="112" t="s">
        <v>73</v>
      </c>
      <c r="B14" s="45">
        <v>1</v>
      </c>
      <c r="G14" s="46"/>
      <c r="N14" s="67">
        <f t="shared" si="0"/>
        <v>400</v>
      </c>
      <c r="O14" s="114" t="s">
        <v>12</v>
      </c>
      <c r="P14" s="9">
        <f t="shared" ref="P14:P19" si="1">P8/2</f>
        <v>200</v>
      </c>
    </row>
    <row r="15" spans="1:16" x14ac:dyDescent="0.2">
      <c r="A15" s="112"/>
      <c r="B15" s="45"/>
      <c r="C15" s="2">
        <v>1</v>
      </c>
      <c r="G15" s="46"/>
      <c r="N15" s="67">
        <f t="shared" si="0"/>
        <v>350</v>
      </c>
      <c r="O15" s="115"/>
      <c r="P15" s="9">
        <f t="shared" si="1"/>
        <v>175</v>
      </c>
    </row>
    <row r="16" spans="1:16" x14ac:dyDescent="0.2">
      <c r="A16" s="112"/>
      <c r="B16" s="45"/>
      <c r="D16" s="2">
        <v>1</v>
      </c>
      <c r="G16" s="46"/>
      <c r="N16" s="67">
        <f t="shared" si="0"/>
        <v>400</v>
      </c>
      <c r="O16" s="115"/>
      <c r="P16" s="9">
        <f t="shared" si="1"/>
        <v>200</v>
      </c>
    </row>
    <row r="17" spans="1:16" x14ac:dyDescent="0.2">
      <c r="A17" s="112"/>
      <c r="B17" s="45"/>
      <c r="E17" s="2">
        <v>1</v>
      </c>
      <c r="G17" s="46"/>
      <c r="N17" s="67">
        <f t="shared" si="0"/>
        <v>425</v>
      </c>
      <c r="O17" s="115"/>
      <c r="P17" s="9">
        <f t="shared" si="1"/>
        <v>225</v>
      </c>
    </row>
    <row r="18" spans="1:16" x14ac:dyDescent="0.2">
      <c r="A18" s="112"/>
      <c r="B18" s="45"/>
      <c r="F18" s="2">
        <v>1</v>
      </c>
      <c r="G18" s="46"/>
      <c r="N18" s="67">
        <f t="shared" si="0"/>
        <v>400</v>
      </c>
      <c r="O18" s="115"/>
      <c r="P18" s="9">
        <f t="shared" si="1"/>
        <v>200</v>
      </c>
    </row>
    <row r="19" spans="1:16" x14ac:dyDescent="0.2">
      <c r="A19" s="112"/>
      <c r="B19" s="45"/>
      <c r="G19" s="46">
        <v>1</v>
      </c>
      <c r="N19" s="67">
        <f t="shared" si="0"/>
        <v>350</v>
      </c>
      <c r="O19" s="115"/>
      <c r="P19" s="71">
        <f t="shared" si="1"/>
        <v>175</v>
      </c>
    </row>
    <row r="20" spans="1:16" x14ac:dyDescent="0.2">
      <c r="A20" s="111" t="s">
        <v>74</v>
      </c>
      <c r="B20" s="72">
        <v>1</v>
      </c>
      <c r="C20" s="18"/>
      <c r="D20" s="18"/>
      <c r="E20" s="18"/>
      <c r="F20" s="18"/>
      <c r="G20" s="73"/>
      <c r="H20" s="18">
        <v>-1</v>
      </c>
      <c r="I20" s="18"/>
      <c r="J20" s="18"/>
      <c r="K20" s="18"/>
      <c r="L20" s="18"/>
      <c r="M20" s="18"/>
      <c r="N20" s="74">
        <f t="shared" si="0"/>
        <v>-175</v>
      </c>
      <c r="O20" s="114" t="str">
        <f t="shared" ref="O20" si="2">"="</f>
        <v>=</v>
      </c>
      <c r="P20" s="9">
        <v>-175</v>
      </c>
    </row>
    <row r="21" spans="1:16" x14ac:dyDescent="0.2">
      <c r="A21" s="112"/>
      <c r="B21" s="45"/>
      <c r="C21" s="2">
        <v>1</v>
      </c>
      <c r="G21" s="46"/>
      <c r="H21" s="2">
        <v>1</v>
      </c>
      <c r="I21" s="2">
        <v>-1</v>
      </c>
      <c r="N21" s="67">
        <f t="shared" si="0"/>
        <v>450</v>
      </c>
      <c r="O21" s="115"/>
      <c r="P21" s="9">
        <v>450</v>
      </c>
    </row>
    <row r="22" spans="1:16" x14ac:dyDescent="0.2">
      <c r="A22" s="112"/>
      <c r="B22" s="45"/>
      <c r="D22" s="2">
        <v>1</v>
      </c>
      <c r="G22" s="46"/>
      <c r="I22" s="2">
        <v>1</v>
      </c>
      <c r="J22" s="2">
        <v>-1</v>
      </c>
      <c r="N22" s="67">
        <f t="shared" si="0"/>
        <v>600</v>
      </c>
      <c r="O22" s="115"/>
      <c r="P22" s="9">
        <v>600</v>
      </c>
    </row>
    <row r="23" spans="1:16" x14ac:dyDescent="0.2">
      <c r="A23" s="112"/>
      <c r="B23" s="45"/>
      <c r="E23" s="2">
        <v>1</v>
      </c>
      <c r="G23" s="46"/>
      <c r="J23" s="2">
        <v>1</v>
      </c>
      <c r="K23" s="2">
        <v>-1</v>
      </c>
      <c r="N23" s="67">
        <f t="shared" si="0"/>
        <v>550</v>
      </c>
      <c r="O23" s="115"/>
      <c r="P23" s="9">
        <v>550</v>
      </c>
    </row>
    <row r="24" spans="1:16" x14ac:dyDescent="0.2">
      <c r="A24" s="112"/>
      <c r="B24" s="45"/>
      <c r="F24" s="2">
        <v>1</v>
      </c>
      <c r="G24" s="46"/>
      <c r="K24" s="2">
        <v>1</v>
      </c>
      <c r="L24" s="2">
        <v>-1</v>
      </c>
      <c r="N24" s="67">
        <f t="shared" si="0"/>
        <v>350</v>
      </c>
      <c r="O24" s="115"/>
      <c r="P24" s="9">
        <v>350</v>
      </c>
    </row>
    <row r="25" spans="1:16" x14ac:dyDescent="0.2">
      <c r="A25" s="112"/>
      <c r="B25" s="68"/>
      <c r="C25" s="20"/>
      <c r="D25" s="20"/>
      <c r="E25" s="20"/>
      <c r="F25" s="20"/>
      <c r="G25" s="69">
        <v>1</v>
      </c>
      <c r="H25" s="20"/>
      <c r="I25" s="20"/>
      <c r="J25" s="20"/>
      <c r="K25" s="20"/>
      <c r="L25" s="20">
        <v>1</v>
      </c>
      <c r="M25" s="20">
        <v>-1</v>
      </c>
      <c r="N25" s="70">
        <f t="shared" si="0"/>
        <v>400</v>
      </c>
      <c r="O25" s="115"/>
      <c r="P25" s="71">
        <v>400</v>
      </c>
    </row>
    <row r="26" spans="1:16" x14ac:dyDescent="0.2">
      <c r="A26" s="111" t="s">
        <v>75</v>
      </c>
      <c r="B26" s="45"/>
      <c r="G26" s="46"/>
      <c r="H26" s="2">
        <v>1</v>
      </c>
      <c r="N26" s="67">
        <f t="shared" si="0"/>
        <v>575</v>
      </c>
      <c r="O26" s="114" t="s">
        <v>11</v>
      </c>
      <c r="P26" s="9">
        <v>600</v>
      </c>
    </row>
    <row r="27" spans="1:16" x14ac:dyDescent="0.2">
      <c r="A27" s="112"/>
      <c r="B27" s="45"/>
      <c r="G27" s="46"/>
      <c r="I27" s="2">
        <v>1</v>
      </c>
      <c r="N27" s="67">
        <f t="shared" si="0"/>
        <v>475</v>
      </c>
      <c r="O27" s="115"/>
      <c r="P27" s="9">
        <v>600</v>
      </c>
    </row>
    <row r="28" spans="1:16" x14ac:dyDescent="0.2">
      <c r="A28" s="112"/>
      <c r="B28" s="45"/>
      <c r="G28" s="46"/>
      <c r="J28" s="2">
        <v>1</v>
      </c>
      <c r="N28" s="67">
        <f t="shared" si="0"/>
        <v>275</v>
      </c>
      <c r="O28" s="115"/>
      <c r="P28" s="9">
        <v>600</v>
      </c>
    </row>
    <row r="29" spans="1:16" x14ac:dyDescent="0.2">
      <c r="A29" s="112"/>
      <c r="B29" s="45"/>
      <c r="G29" s="46"/>
      <c r="K29" s="2">
        <v>1</v>
      </c>
      <c r="N29" s="67">
        <f t="shared" si="0"/>
        <v>150</v>
      </c>
      <c r="O29" s="115"/>
      <c r="P29" s="9">
        <v>600</v>
      </c>
    </row>
    <row r="30" spans="1:16" x14ac:dyDescent="0.2">
      <c r="A30" s="112"/>
      <c r="B30" s="45"/>
      <c r="G30" s="46"/>
      <c r="L30" s="2">
        <v>1</v>
      </c>
      <c r="N30" s="67">
        <f t="shared" si="0"/>
        <v>200</v>
      </c>
      <c r="O30" s="115"/>
      <c r="P30" s="9">
        <v>600</v>
      </c>
    </row>
    <row r="31" spans="1:16" x14ac:dyDescent="0.2">
      <c r="A31" s="112"/>
      <c r="B31" s="45"/>
      <c r="G31" s="46"/>
      <c r="M31" s="2">
        <v>1</v>
      </c>
      <c r="N31" s="67">
        <f t="shared" si="0"/>
        <v>150</v>
      </c>
      <c r="O31" s="115"/>
      <c r="P31" s="71">
        <v>600</v>
      </c>
    </row>
    <row r="32" spans="1:16" x14ac:dyDescent="0.2">
      <c r="A32" s="111" t="s">
        <v>76</v>
      </c>
      <c r="B32" s="72"/>
      <c r="C32" s="18"/>
      <c r="D32" s="18"/>
      <c r="E32" s="18"/>
      <c r="F32" s="18"/>
      <c r="G32" s="73"/>
      <c r="H32" s="18">
        <v>1</v>
      </c>
      <c r="I32" s="18"/>
      <c r="J32" s="18"/>
      <c r="K32" s="18"/>
      <c r="L32" s="18"/>
      <c r="M32" s="18"/>
      <c r="N32" s="74">
        <f t="shared" si="0"/>
        <v>575</v>
      </c>
      <c r="O32" s="114" t="s">
        <v>12</v>
      </c>
      <c r="P32" s="9">
        <v>150</v>
      </c>
    </row>
    <row r="33" spans="1:16" x14ac:dyDescent="0.2">
      <c r="A33" s="112"/>
      <c r="B33" s="45"/>
      <c r="G33" s="46"/>
      <c r="I33" s="2">
        <v>1</v>
      </c>
      <c r="N33" s="67">
        <f t="shared" si="0"/>
        <v>475</v>
      </c>
      <c r="O33" s="115"/>
      <c r="P33" s="9">
        <v>150</v>
      </c>
    </row>
    <row r="34" spans="1:16" x14ac:dyDescent="0.2">
      <c r="A34" s="112"/>
      <c r="B34" s="45"/>
      <c r="G34" s="46"/>
      <c r="J34" s="2">
        <v>1</v>
      </c>
      <c r="N34" s="67">
        <f t="shared" si="0"/>
        <v>275</v>
      </c>
      <c r="O34" s="115"/>
      <c r="P34" s="9">
        <v>150</v>
      </c>
    </row>
    <row r="35" spans="1:16" x14ac:dyDescent="0.2">
      <c r="A35" s="112"/>
      <c r="B35" s="45"/>
      <c r="G35" s="46"/>
      <c r="K35" s="2">
        <v>1</v>
      </c>
      <c r="N35" s="67">
        <f t="shared" si="0"/>
        <v>150</v>
      </c>
      <c r="O35" s="115"/>
      <c r="P35" s="9">
        <v>150</v>
      </c>
    </row>
    <row r="36" spans="1:16" x14ac:dyDescent="0.2">
      <c r="A36" s="112"/>
      <c r="B36" s="45"/>
      <c r="G36" s="46"/>
      <c r="L36" s="2">
        <v>1</v>
      </c>
      <c r="N36" s="67">
        <f t="shared" si="0"/>
        <v>200</v>
      </c>
      <c r="O36" s="115"/>
      <c r="P36" s="9">
        <v>150</v>
      </c>
    </row>
    <row r="37" spans="1:16" ht="16" thickBot="1" x14ac:dyDescent="0.25">
      <c r="A37" s="113"/>
      <c r="B37" s="60"/>
      <c r="C37" s="11"/>
      <c r="D37" s="11"/>
      <c r="E37" s="11"/>
      <c r="F37" s="11"/>
      <c r="G37" s="61"/>
      <c r="H37" s="11"/>
      <c r="I37" s="11"/>
      <c r="J37" s="11"/>
      <c r="K37" s="11"/>
      <c r="L37" s="11"/>
      <c r="M37" s="11">
        <v>1</v>
      </c>
      <c r="N37" s="75">
        <f t="shared" si="0"/>
        <v>150</v>
      </c>
      <c r="O37" s="116"/>
      <c r="P37" s="12">
        <v>150</v>
      </c>
    </row>
  </sheetData>
  <mergeCells count="13">
    <mergeCell ref="B1:M1"/>
    <mergeCell ref="B2:G2"/>
    <mergeCell ref="H2:M2"/>
    <mergeCell ref="A26:A31"/>
    <mergeCell ref="O26:O31"/>
    <mergeCell ref="A32:A37"/>
    <mergeCell ref="O32:O37"/>
    <mergeCell ref="A8:A13"/>
    <mergeCell ref="O8:O13"/>
    <mergeCell ref="A14:A19"/>
    <mergeCell ref="O14:O19"/>
    <mergeCell ref="A20:A25"/>
    <mergeCell ref="O20:O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Flair Example</vt:lpstr>
      <vt:lpstr>Handout 01 - Q1</vt:lpstr>
      <vt:lpstr>Q2-Investment</vt:lpstr>
      <vt:lpstr>Q2-Investment- Classic</vt:lpstr>
      <vt:lpstr>Q3-Production-Inventory</vt:lpstr>
      <vt:lpstr>Q3-Production-Inv-Classic</vt:lpstr>
      <vt:lpstr>'Q2-Investment'!Print_Area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Majid Taghavi</dc:creator>
  <cp:lastModifiedBy>Majid Taghavi</cp:lastModifiedBy>
  <cp:lastPrinted>2026-01-14T17:59:03Z</cp:lastPrinted>
  <dcterms:created xsi:type="dcterms:W3CDTF">2021-10-28T12:33:21Z</dcterms:created>
  <dcterms:modified xsi:type="dcterms:W3CDTF">2026-01-15T17:04:23Z</dcterms:modified>
</cp:coreProperties>
</file>