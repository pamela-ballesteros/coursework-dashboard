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ba44ec62874856/Desktop/MBAN 2026/Prescriptive/"/>
    </mc:Choice>
  </mc:AlternateContent>
  <xr:revisionPtr revIDLastSave="1086" documentId="8_{6F78C3B9-5059-4CB0-87EE-DA824DF6194B}" xr6:coauthVersionLast="47" xr6:coauthVersionMax="47" xr10:uidLastSave="{C298E5EF-461C-4A41-8818-71E58EAC8217}"/>
  <bookViews>
    <workbookView xWindow="28680" yWindow="-120" windowWidth="29040" windowHeight="15720" activeTab="1" xr2:uid="{2F0E9AA7-55E7-480D-97E2-AFFBBF35A015}"/>
  </bookViews>
  <sheets>
    <sheet name="Sensitivity Report 1" sheetId="3" r:id="rId1"/>
    <sheet name="LP Model" sheetId="1" r:id="rId2"/>
  </sheets>
  <definedNames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1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solver_adj" localSheetId="1" hidden="1">'LP Model'!$B$4:$E$4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'LP Model'!$B$4</definedName>
    <definedName name="solver_lhs2" localSheetId="1" hidden="1">'LP Model'!$B$4:$E$4</definedName>
    <definedName name="solver_lhs3" localSheetId="1" hidden="1">'LP Model'!$C$4</definedName>
    <definedName name="solver_lhs4" localSheetId="1" hidden="1">'LP Model'!$D$4</definedName>
    <definedName name="solver_lhs5" localSheetId="1" hidden="1">'LP Model'!$E$4</definedName>
    <definedName name="solver_lhs6" localSheetId="1" hidden="1">'LP Model'!$F$10</definedName>
    <definedName name="solver_lhs7" localSheetId="1" hidden="1">'LP Model'!$F$7</definedName>
    <definedName name="solver_lhs8" localSheetId="1" hidden="1">'LP Model'!$F$8</definedName>
    <definedName name="solver_lhs9" localSheetId="1" hidden="1">'LP Model'!$F$9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9</definedName>
    <definedName name="solver_nwt" localSheetId="1" hidden="1">1</definedName>
    <definedName name="solver_opt" localSheetId="1" hidden="1">'LP Model'!$G$5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4</definedName>
    <definedName name="solver_rel3" localSheetId="1" hidden="1">1</definedName>
    <definedName name="solver_rel4" localSheetId="1" hidden="1">1</definedName>
    <definedName name="solver_rel5" localSheetId="1" hidden="1">1</definedName>
    <definedName name="solver_rel6" localSheetId="1" hidden="1">1</definedName>
    <definedName name="solver_rel7" localSheetId="1" hidden="1">1</definedName>
    <definedName name="solver_rel8" localSheetId="1" hidden="1">1</definedName>
    <definedName name="solver_rel9" localSheetId="1" hidden="1">1</definedName>
    <definedName name="solver_rhs1" localSheetId="1" hidden="1">40</definedName>
    <definedName name="solver_rhs2" localSheetId="1" hidden="1">"integer"</definedName>
    <definedName name="solver_rhs3" localSheetId="1" hidden="1">4</definedName>
    <definedName name="solver_rhs4" localSheetId="1" hidden="1">2</definedName>
    <definedName name="solver_rhs5" localSheetId="1" hidden="1">2</definedName>
    <definedName name="solver_rhs6" localSheetId="1" hidden="1">'LP Model'!$G$10</definedName>
    <definedName name="solver_rhs7" localSheetId="1" hidden="1">'LP Model'!$G$7</definedName>
    <definedName name="solver_rhs8" localSheetId="1" hidden="1">'LP Model'!$G$8</definedName>
    <definedName name="solver_rhs9" localSheetId="1" hidden="1">'LP Model'!$G$9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F10" i="1"/>
  <c r="F9" i="1"/>
  <c r="F8" i="1"/>
  <c r="F7" i="1"/>
</calcChain>
</file>

<file path=xl/sharedStrings.xml><?xml version="1.0" encoding="utf-8"?>
<sst xmlns="http://schemas.openxmlformats.org/spreadsheetml/2006/main" count="58" uniqueCount="41">
  <si>
    <t xml:space="preserve">Production Planning </t>
  </si>
  <si>
    <t>Contribution</t>
  </si>
  <si>
    <t>Steel</t>
  </si>
  <si>
    <t>Corrosion</t>
  </si>
  <si>
    <t>Dock Days</t>
  </si>
  <si>
    <t>Labor Hours</t>
  </si>
  <si>
    <t>R</t>
  </si>
  <si>
    <t>C</t>
  </si>
  <si>
    <t>O</t>
  </si>
  <si>
    <t>N</t>
  </si>
  <si>
    <t>Decision Variables</t>
  </si>
  <si>
    <t>Objective:</t>
  </si>
  <si>
    <t>Total Contribution</t>
  </si>
  <si>
    <t>Microsoft Excel 16.0 Sensitivity Report</t>
  </si>
  <si>
    <t>Worksheet: [Production Planning-Case Study.xlsx]Sheet1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</si>
  <si>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</si>
  <si>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</si>
  <si>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</si>
  <si>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</si>
  <si>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</si>
  <si>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</si>
  <si>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</si>
  <si>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</si>
  <si>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</si>
  <si>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</si>
  <si>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</si>
  <si>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</si>
  <si>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Constraints</t>
  </si>
  <si>
    <t>Shadow</t>
  </si>
  <si>
    <t>Price</t>
  </si>
  <si>
    <t>Constraint</t>
  </si>
  <si>
    <t>R.H. Side</t>
  </si>
  <si>
    <t>$B$4</t>
  </si>
  <si>
    <t>$C$4</t>
  </si>
  <si>
    <t>$D$4</t>
  </si>
  <si>
    <t>$E$4</t>
  </si>
  <si>
    <t>Report Created: 2026-03-09 5:32:49 PM</t>
  </si>
  <si>
    <t>$F$10</t>
  </si>
  <si>
    <t>$F$7</t>
  </si>
  <si>
    <t>$F$8</t>
  </si>
  <si>
    <t>$F$9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</si>
</sst>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1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0" borderId="0" xfId="0" applyFont="1"/>
    <xf numFmtId="0" fontId="0" fillId="0" borderId="7" xfId="0" applyBorder="1"/>
    <xf numFmtId="0" fontId="0" fillId="0" borderId="8" xfId="0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8EF97-43FE-46E7-A089-E6747D74C32B}">
  <dimension ref="A1:H20"/>
  <sheetViews>
    <sheetView showGridLines="0" workbookViewId="0"/>
  </sheetViews>
  <sheetFormatPr defaultRowHeight="15" x14ac:dyDescent="0.25"/>
  <cols>
    <col min="1" max="1" width="2.28515625" customWidth="1"/>
    <col min="2" max="2" width="6" bestFit="1" customWidth="1"/>
    <col min="3" max="3" width="11.7109375" bestFit="1" customWidth="1"/>
    <col min="4" max="4" width="12" bestFit="1" customWidth="1"/>
    <col min="5" max="5" width="12.7109375" bestFit="1" customWidth="1"/>
    <col min="6" max="6" width="11.28515625" bestFit="1" customWidth="1"/>
    <col min="7" max="8" width="12" bestFit="1" customWidth="1"/>
  </cols>
  <sheetData>
    <row r="1" spans="1:8" x14ac:dyDescent="0.25">
      <c r="A1" s="4" t="s">
        <v>13</v>
      </c>
    </row>
    <row r="2" spans="1:8" x14ac:dyDescent="0.25">
      <c r="A2" s="4" t="s">
        <v>14</v>
      </c>
    </row>
    <row r="3" spans="1:8" x14ac:dyDescent="0.25">
      <c r="A3" s="4" t="s">
        <v>36</v>
      </c>
    </row>
    <row r="6" spans="1:8" ht="15.75" thickBot="1" x14ac:dyDescent="0.3">
      <c r="A6" t="s">
        <v>15</v>
      </c>
    </row>
    <row r="7" spans="1:8" x14ac:dyDescent="0.25">
      <c r="B7" s="7"/>
      <c r="C7" s="7"/>
      <c r="D7" s="7" t="s">
        <v>18</v>
      </c>
      <c r="E7" s="7" t="s">
        <v>20</v>
      </c>
      <c r="F7" s="7" t="s">
        <v>22</v>
      </c>
      <c r="G7" s="7" t="s">
        <v>24</v>
      </c>
      <c r="H7" s="7" t="s">
        <v>24</v>
      </c>
    </row>
    <row r="8" spans="1:8" ht="15.75" thickBot="1" x14ac:dyDescent="0.3">
      <c r="B8" s="8" t="s">
        <v>16</v>
      </c>
      <c r="C8" s="8" t="s">
        <v>17</v>
      </c>
      <c r="D8" s="8" t="s">
        <v>19</v>
      </c>
      <c r="E8" s="8" t="s">
        <v>21</v>
      </c>
      <c r="F8" s="8" t="s">
        <v>23</v>
      </c>
      <c r="G8" s="8" t="s">
        <v>25</v>
      </c>
      <c r="H8" s="8" t="s">
        <v>26</v>
      </c>
    </row>
    <row r="9" spans="1:8" x14ac:dyDescent="0.25">
      <c r="B9" s="5" t="s">
        <v>32</v>
      </c>
      <c r="C9" s="5" t="s">
        <v>6</v>
      </c>
      <c r="D9" s="5">
        <v>0</v>
      </c>
      <c r="E9" s="5">
        <v>-254829.63636363635</v>
      </c>
      <c r="F9" s="5">
        <v>520171</v>
      </c>
      <c r="G9" s="5">
        <v>254829.63636363635</v>
      </c>
      <c r="H9" s="5">
        <v>1E+30</v>
      </c>
    </row>
    <row r="10" spans="1:8" x14ac:dyDescent="0.25">
      <c r="B10" s="5" t="s">
        <v>33</v>
      </c>
      <c r="C10" s="5" t="s">
        <v>7</v>
      </c>
      <c r="D10" s="5">
        <v>3.6945454545454544</v>
      </c>
      <c r="E10" s="5">
        <v>0</v>
      </c>
      <c r="F10" s="5">
        <v>5014710</v>
      </c>
      <c r="G10" s="5">
        <v>852506.66666666733</v>
      </c>
      <c r="H10" s="5">
        <v>1648897.6470588236</v>
      </c>
    </row>
    <row r="11" spans="1:8" x14ac:dyDescent="0.25">
      <c r="B11" s="5" t="s">
        <v>34</v>
      </c>
      <c r="C11" s="5" t="s">
        <v>8</v>
      </c>
      <c r="D11" s="5">
        <v>2</v>
      </c>
      <c r="E11" s="5">
        <v>1193254.2</v>
      </c>
      <c r="F11" s="5">
        <v>3098844</v>
      </c>
      <c r="G11" s="5">
        <v>1E+30</v>
      </c>
      <c r="H11" s="5">
        <v>1193254.2</v>
      </c>
    </row>
    <row r="12" spans="1:8" ht="15.75" thickBot="1" x14ac:dyDescent="0.3">
      <c r="B12" s="6" t="s">
        <v>35</v>
      </c>
      <c r="C12" s="6" t="s">
        <v>9</v>
      </c>
      <c r="D12" s="6">
        <v>2</v>
      </c>
      <c r="E12" s="6">
        <v>232501.81818181835</v>
      </c>
      <c r="F12" s="6">
        <v>1600150</v>
      </c>
      <c r="G12" s="6">
        <v>1E+30</v>
      </c>
      <c r="H12" s="6">
        <v>232501.81818181835</v>
      </c>
    </row>
    <row r="14" spans="1:8" ht="15.75" thickBot="1" x14ac:dyDescent="0.3">
      <c r="A14" t="s">
        <v>27</v>
      </c>
    </row>
    <row r="15" spans="1:8" x14ac:dyDescent="0.25">
      <c r="B15" s="7"/>
      <c r="C15" s="7"/>
      <c r="D15" s="7" t="s">
        <v>18</v>
      </c>
      <c r="E15" s="7" t="s">
        <v>28</v>
      </c>
      <c r="F15" s="7" t="s">
        <v>30</v>
      </c>
      <c r="G15" s="7" t="s">
        <v>24</v>
      </c>
      <c r="H15" s="7" t="s">
        <v>24</v>
      </c>
    </row>
    <row r="16" spans="1:8" ht="15.75" thickBot="1" x14ac:dyDescent="0.3">
      <c r="B16" s="8" t="s">
        <v>16</v>
      </c>
      <c r="C16" s="8" t="s">
        <v>17</v>
      </c>
      <c r="D16" s="8" t="s">
        <v>19</v>
      </c>
      <c r="E16" s="8" t="s">
        <v>29</v>
      </c>
      <c r="F16" s="8" t="s">
        <v>31</v>
      </c>
      <c r="G16" s="8" t="s">
        <v>25</v>
      </c>
      <c r="H16" s="8" t="s">
        <v>26</v>
      </c>
    </row>
    <row r="17" spans="2:8" x14ac:dyDescent="0.25">
      <c r="B17" s="5" t="s">
        <v>37</v>
      </c>
      <c r="C17" s="5" t="s">
        <v>5</v>
      </c>
      <c r="D17" s="5">
        <v>3242782.7272727271</v>
      </c>
      <c r="E17" s="5">
        <v>0</v>
      </c>
      <c r="F17" s="5">
        <v>4000000</v>
      </c>
      <c r="G17" s="5">
        <v>1E+30</v>
      </c>
      <c r="H17" s="5">
        <v>757217.27272727294</v>
      </c>
    </row>
    <row r="18" spans="2:8" x14ac:dyDescent="0.25">
      <c r="B18" s="5" t="s">
        <v>38</v>
      </c>
      <c r="C18" s="5" t="s">
        <v>2</v>
      </c>
      <c r="D18" s="5">
        <v>5500</v>
      </c>
      <c r="E18" s="5">
        <v>4558.8272727272724</v>
      </c>
      <c r="F18" s="5">
        <v>5500</v>
      </c>
      <c r="G18" s="5">
        <v>336.00000000000023</v>
      </c>
      <c r="H18" s="5">
        <v>4064</v>
      </c>
    </row>
    <row r="19" spans="2:8" x14ac:dyDescent="0.25">
      <c r="B19" s="5" t="s">
        <v>39</v>
      </c>
      <c r="C19" s="5" t="s">
        <v>3</v>
      </c>
      <c r="D19" s="5">
        <v>205738.18181818182</v>
      </c>
      <c r="E19" s="5">
        <v>0</v>
      </c>
      <c r="F19" s="5">
        <v>500000</v>
      </c>
      <c r="G19" s="5">
        <v>1E+30</v>
      </c>
      <c r="H19" s="5">
        <v>294261.81818181818</v>
      </c>
    </row>
    <row r="20" spans="2:8" ht="15.75" thickBot="1" x14ac:dyDescent="0.3">
      <c r="B20" s="6" t="s">
        <v>40</v>
      </c>
      <c r="C20" s="6" t="s">
        <v>4</v>
      </c>
      <c r="D20" s="6">
        <v>346.64727272727271</v>
      </c>
      <c r="E20" s="6">
        <v>0</v>
      </c>
      <c r="F20" s="6">
        <v>700</v>
      </c>
      <c r="G20" s="6">
        <v>1E+30</v>
      </c>
      <c r="H20" s="6">
        <v>353.35272727272729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EE6C-6561-48F4-A977-FCC0AF097A92}">
  <dimension ref="A1:I10"/>
  <sheetViews>
    <sheetView tabSelected="1" zoomScale="115" zoomScaleNormal="115" workbookViewId="0">
      <selection activeCell="G16" sqref="G16"/>
    </sheetView>
  </sheetViews>
  <sheetFormatPr defaultRowHeight="15" x14ac:dyDescent="0.25"/>
  <cols>
    <col min="1" max="1" width="17.85546875" bestFit="1" customWidth="1"/>
    <col min="3" max="5" width="10" bestFit="1" customWidth="1"/>
    <col min="7" max="7" width="21.42578125" customWidth="1"/>
  </cols>
  <sheetData>
    <row r="1" spans="1:9" x14ac:dyDescent="0.25">
      <c r="A1" s="10" t="s">
        <v>0</v>
      </c>
      <c r="B1" s="11"/>
      <c r="C1" s="11"/>
      <c r="D1" s="11"/>
      <c r="E1" s="11"/>
      <c r="F1" s="11"/>
      <c r="G1" s="12"/>
      <c r="H1" s="1"/>
      <c r="I1" s="1"/>
    </row>
    <row r="2" spans="1:9" x14ac:dyDescent="0.25">
      <c r="A2" s="2"/>
      <c r="B2" s="2"/>
      <c r="C2" s="2"/>
      <c r="D2" s="2"/>
      <c r="E2" s="2"/>
      <c r="F2" s="2"/>
      <c r="G2" s="2"/>
    </row>
    <row r="3" spans="1:9" x14ac:dyDescent="0.25">
      <c r="A3" s="2" t="s">
        <v>10</v>
      </c>
      <c r="B3" s="2" t="s">
        <v>6</v>
      </c>
      <c r="C3" s="2" t="s">
        <v>7</v>
      </c>
      <c r="D3" s="2" t="s">
        <v>8</v>
      </c>
      <c r="E3" s="2" t="s">
        <v>9</v>
      </c>
      <c r="F3" s="2"/>
      <c r="G3" s="2"/>
    </row>
    <row r="4" spans="1:9" x14ac:dyDescent="0.25">
      <c r="A4" s="2"/>
      <c r="B4" s="2">
        <v>1</v>
      </c>
      <c r="C4" s="2">
        <v>4</v>
      </c>
      <c r="D4" s="2">
        <v>2</v>
      </c>
      <c r="E4" s="2">
        <v>0</v>
      </c>
      <c r="F4" s="2"/>
      <c r="G4" s="2" t="s">
        <v>12</v>
      </c>
    </row>
    <row r="5" spans="1:9" x14ac:dyDescent="0.25">
      <c r="A5" s="2" t="s">
        <v>11</v>
      </c>
      <c r="B5" s="2"/>
      <c r="C5" s="2"/>
      <c r="D5" s="2"/>
      <c r="E5" s="2"/>
      <c r="F5" s="2"/>
      <c r="G5" s="9">
        <f>SUMPRODUCT(B6:E6,$B$4:$E$4)</f>
        <v>26776699</v>
      </c>
    </row>
    <row r="6" spans="1:9" x14ac:dyDescent="0.25">
      <c r="A6" s="2" t="s">
        <v>1</v>
      </c>
      <c r="B6" s="3">
        <v>520171</v>
      </c>
      <c r="C6" s="3">
        <v>5014710</v>
      </c>
      <c r="D6" s="3">
        <v>3098844</v>
      </c>
      <c r="E6" s="3">
        <v>1600150</v>
      </c>
      <c r="F6" s="2"/>
      <c r="G6" s="2"/>
    </row>
    <row r="7" spans="1:9" x14ac:dyDescent="0.25">
      <c r="A7" s="2" t="s">
        <v>2</v>
      </c>
      <c r="B7" s="2">
        <v>170</v>
      </c>
      <c r="C7" s="3">
        <v>1100</v>
      </c>
      <c r="D7" s="2">
        <v>418</v>
      </c>
      <c r="E7" s="2">
        <v>300</v>
      </c>
      <c r="F7" s="2">
        <f>SUMPRODUCT(B$7:E$7, B$4:E$4)</f>
        <v>5406</v>
      </c>
      <c r="G7" s="3">
        <v>5500</v>
      </c>
    </row>
    <row r="8" spans="1:9" x14ac:dyDescent="0.25">
      <c r="A8" s="2" t="s">
        <v>3</v>
      </c>
      <c r="B8" s="3">
        <v>5700</v>
      </c>
      <c r="C8" s="3">
        <v>48000</v>
      </c>
      <c r="D8" s="3">
        <v>4200</v>
      </c>
      <c r="E8" s="3">
        <v>10000</v>
      </c>
      <c r="F8" s="2">
        <f>SUMPRODUCT(B$8:E$8, B$4:E$4)</f>
        <v>206100</v>
      </c>
      <c r="G8" s="3">
        <v>500000</v>
      </c>
    </row>
    <row r="9" spans="1:9" x14ac:dyDescent="0.25">
      <c r="A9" s="2" t="s">
        <v>4</v>
      </c>
      <c r="B9" s="2">
        <v>9</v>
      </c>
      <c r="C9" s="3">
        <v>83</v>
      </c>
      <c r="D9" s="2">
        <v>0</v>
      </c>
      <c r="E9" s="2">
        <v>20</v>
      </c>
      <c r="F9" s="2">
        <f>SUMPRODUCT(B$9:E$9, B$4:E$4)</f>
        <v>341</v>
      </c>
      <c r="G9" s="2">
        <v>700</v>
      </c>
    </row>
    <row r="10" spans="1:9" x14ac:dyDescent="0.25">
      <c r="A10" s="2" t="s">
        <v>5</v>
      </c>
      <c r="B10" s="3">
        <v>47645</v>
      </c>
      <c r="C10" s="3">
        <v>731000</v>
      </c>
      <c r="D10" s="3">
        <v>170609</v>
      </c>
      <c r="E10" s="3">
        <v>100426</v>
      </c>
      <c r="F10" s="2">
        <f>SUMPRODUCT(B$10:E$10, B$4:E$4)</f>
        <v>3312863</v>
      </c>
      <c r="G10" s="3">
        <v>4000000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Sensitivity Report 1</vt:lpstr>
      <vt:lpstr>LP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Ballesteros</dc:creator>
  <cp:lastModifiedBy>Pamela Ballesteros</cp:lastModifiedBy>
  <dcterms:created xsi:type="dcterms:W3CDTF">2026-03-09T19:42:58Z</dcterms:created>
  <dcterms:modified xsi:type="dcterms:W3CDTF">2026-04-06T21:00:51Z</dcterms:modified>
</cp:coreProperties>
</file>